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Unit Economics" sheetId="3" state="visible" r:id="rId5"/>
    <sheet name="Scale P&amp;L" sheetId="4" state="visible" r:id="rId6"/>
    <sheet name="Pricing Sensitivity" sheetId="5" state="visible" r:id="rId7"/>
    <sheet name="Plan Check" sheetId="6" state="visible" r:id="rId8"/>
    <sheet name="Channels" sheetId="7" state="visible" r:id="rId9"/>
    <sheet name="Cash"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<sst xmlns="http://schemas.openxmlformats.org/spreadsheetml/2006/main" count="279" uniqueCount="255">
  <si>
    <t xml:space="preserve">Flourish Money: Unit Economics Model</t>
  </si>
  <si>
    <t xml:space="preserve">Built 2026-09-03. Purpose: answer 'what price and conversion does Flourish need to cover its costs' before touching more code.</t>
  </si>
  <si>
    <t xml:space="preserve">How to use</t>
  </si>
  <si>
    <t xml:space="preserve">1. Inputs: every number in blue is editable. Yellow cells are the ones that swing the answer most. Column B is the app as built today (Canada + US, bank links open to free users, no prompt caching). Column C is the narrowed plan (Canada only, bank links behind Plus, caching on, Flora scoped to explain and calculate).</t>
  </si>
  <si>
    <t xml:space="preserve">2. Unit Economics: cost and margin per paying user and per free user, then how many paying users it takes to break even and to reach $2k and $5k a month.</t>
  </si>
  <si>
    <t xml:space="preserve">3. Scale P&amp;L: monthly profit at 100 to 10,000 active users for both scenarios.</t>
  </si>
  <si>
    <t xml:space="preserve">4. Pricing Sensitivity: Scenario B only. Breakeven paying users and trial signups needed at five price points and five conversion rates.</t>
  </si>
  <si>
    <t xml:space="preserve">What is fact vs assumption</t>
  </si>
  <si>
    <t xml:space="preserve">Facts from the codebase: prices in the Paywall, FREE_LIMIT of 5 coach messages, BETA_CAP of 30, no billing integration, no prompt caching.</t>
  </si>
  <si>
    <t xml:space="preserve">Facts from vendor pages (Sep 2026): Stripe Canada 2.9% + $0.30; Claude Sonnet $3/$15 per M tokens, cache reads 10%; Plaid bills Transactions monthly per Item and does not publish rates; Plaid trial allows 10 Production Items; Flinks starts at $500/mo for 200 connections on a 1-year contract, so it is not an option at beta scale.</t>
  </si>
  <si>
    <t xml:space="preserve">Everything else (conversion, churn, linked accounts, messages per user, token counts) is an assumption and is labelled as such in the Note column. Replace with real data as soon as you have 30 beta users.</t>
  </si>
  <si>
    <t xml:space="preserve">The one number to watch</t>
  </si>
  <si>
    <t xml:space="preserve">'Margin per paid user after carrying its free users' on Unit Economics. If that is near zero or negative, no amount of growth fixes it. The narrowed scenario exists mainly to move that number.</t>
  </si>
  <si>
    <t xml:space="preserve">Updated Sept 10, 2026: Scenario B now uses the decided prices (11.99 / 99.99 CAD, founding 79.99), 2 free coach messages a week, Stripe Billing 0.7% and Stripe Tax 0.5%, Netlify Pro USD 20. New sheet Plan Check computes the Dec 12 paying target from the two funnels and the hire triggers from the Finance rule.</t>
  </si>
  <si>
    <t xml:space="preserve">Flourish Money — Unit Economics Inputs (all money in CAD unless noted)</t>
  </si>
  <si>
    <t xml:space="preserve">Blue = editable input. Yellow = key assumption to revisit. Black = formula. Green = pulled from another sheet.</t>
  </si>
  <si>
    <t xml:space="preserve">Assumption</t>
  </si>
  <si>
    <t xml:space="preserve">A: Current (CA+US)</t>
  </si>
  <si>
    <t xml:space="preserve">B: Narrowed (Canada, links Plus-only)</t>
  </si>
  <si>
    <t xml:space="preserve">Note / source</t>
  </si>
  <si>
    <t xml:space="preserve">Pricing</t>
  </si>
  <si>
    <t xml:space="preserve">Monthly price CAD</t>
  </si>
  <si>
    <t xml:space="preserve">DECISIONS.md (Sept 2026): $11.99/mo CAD. Column B keeps the old 9.99 for comparison.</t>
  </si>
  <si>
    <t xml:space="preserve">Annual price CAD</t>
  </si>
  <si>
    <t xml:space="preserve">DECISIONS.md: $99.99/yr CAD. Founding annual 79.99 is modelled in the Plan Check sheet.</t>
  </si>
  <si>
    <t xml:space="preserve">Monthly price USD</t>
  </si>
  <si>
    <t xml:space="preserve">App.jsx Paywall. Zero in B because US is dropped.</t>
  </si>
  <si>
    <t xml:space="preserve">Annual price USD</t>
  </si>
  <si>
    <t xml:space="preserve">App.jsx Paywall</t>
  </si>
  <si>
    <t xml:space="preserve">Share of paid users on annual plan</t>
  </si>
  <si>
    <t xml:space="preserve">Assumption. Annual is the default-selected plan in the paywall.</t>
  </si>
  <si>
    <t xml:space="preserve">Share of users in Canada</t>
  </si>
  <si>
    <t xml:space="preserve">Assumption for A. B is Canada-only by design.</t>
  </si>
  <si>
    <t xml:space="preserve">USD to CAD rate</t>
  </si>
  <si>
    <t xml:space="preserve">Assumption; update to current rate.</t>
  </si>
  <si>
    <t xml:space="preserve">Payment processing (Stripe Canada)</t>
  </si>
  <si>
    <t xml:space="preserve">Stripe domestic card %</t>
  </si>
  <si>
    <t xml:space="preserve">2.9% + C$0.30 domestic. Source: profitvana.com/guides/stripe-fees-in-canada</t>
  </si>
  <si>
    <t xml:space="preserve">Stripe fixed fee per charge (CAD)</t>
  </si>
  <si>
    <t xml:space="preserve">Same source</t>
  </si>
  <si>
    <t xml:space="preserve">Stripe Billing (subscriptions) surcharge %</t>
  </si>
  <si>
    <t xml:space="preserve">Stripe Billing pay-as-you-go 0.7% of Billing volume (stripe.com/en-ca/pricing, Sept 2026).</t>
  </si>
  <si>
    <t xml:space="preserve">Extra % on non-Canadian cards (intl + FX)</t>
  </si>
  <si>
    <t xml:space="preserve">1.5% international + 1% currency conversion. Applied to the US share of users.</t>
  </si>
  <si>
    <t xml:space="preserve">Bank connections (Plaid)</t>
  </si>
  <si>
    <t xml:space="preserve">Plaid Transactions, per connected account per month (USD)</t>
  </si>
  <si>
    <t xml:space="preserve">Plaid does not publish prices; billed monthly per Item while access_token exists (plaid.com/docs/account/billing). $0.30 is a commonly cited PAYG figure; replace with your quoted rate.</t>
  </si>
  <si>
    <t xml:space="preserve">Other Plaid cost per linked user per month (USD)</t>
  </si>
  <si>
    <t xml:space="preserve">Balance calls are per request; Auth is one-time per Item. Rough allowance. Plaid trial: max 10 Production Items free.</t>
  </si>
  <si>
    <t xml:space="preserve">Avg connected accounts per linking user</t>
  </si>
  <si>
    <t xml:space="preserve">Assumption (chequing + savings + credit card).</t>
  </si>
  <si>
    <t xml:space="preserve">Share of FREE users who link a bank</t>
  </si>
  <si>
    <t xml:space="preserve">A: links are open to everyone today. B: links gated behind Plus, so free users cost nothing here.</t>
  </si>
  <si>
    <t xml:space="preserve">Share of PAID users who link a bank</t>
  </si>
  <si>
    <t xml:space="preserve">AI coach (Flora on Claude API)</t>
  </si>
  <si>
    <t xml:space="preserve">Input price, $ per million tokens (USD)</t>
  </si>
  <si>
    <t xml:space="preserve">Sonnet standard rate $3 in / $15 out. Haiku 4.5 is $1 / $5. Source: benchlm.ai/anthropic/api-pricing (Sep 2026)</t>
  </si>
  <si>
    <t xml:space="preserve">Output price, $ per million tokens (USD)</t>
  </si>
  <si>
    <t xml:space="preserve">Cached input price, $ per million tokens (USD)</t>
  </si>
  <si>
    <t xml:space="preserve">Cache reads are 10% of input rate. Requires the system prompt to be cache-marked in coach.js (it is not today).</t>
  </si>
  <si>
    <t xml:space="preserve">System prompt tokens per message (cacheable)</t>
  </si>
  <si>
    <t xml:space="preserve">Estimate from the coach prompt in App.jsx (profile, rules, tax tables, engine output).</t>
  </si>
  <si>
    <t xml:space="preserve">Fresh input tokens per message (history + data)</t>
  </si>
  <si>
    <t xml:space="preserve">Estimate</t>
  </si>
  <si>
    <t xml:space="preserve">Output tokens per message</t>
  </si>
  <si>
    <t xml:space="preserve">Estimate; prompt says be brief.</t>
  </si>
  <si>
    <t xml:space="preserve">Prompt caching enabled? (1 = yes, 0 = no)</t>
  </si>
  <si>
    <t xml:space="preserve">A: not implemented today. B: assumes you add cache_control to the system prompt.</t>
  </si>
  <si>
    <t xml:space="preserve">Coach messages per FREE user per month</t>
  </si>
  <si>
    <t xml:space="preserve">Free tier is 2 coach messages a week (usageLimits.js), about 8.67 a month.</t>
  </si>
  <si>
    <t xml:space="preserve">Coach messages per PAID user per month</t>
  </si>
  <si>
    <t xml:space="preserve">Assumption. B lower because Flora explains and calculates rather than open-ended advising.</t>
  </si>
  <si>
    <t xml:space="preserve">Fixed costs per month (CAD)</t>
  </si>
  <si>
    <t xml:space="preserve">Supabase Pro</t>
  </si>
  <si>
    <t xml:space="preserve">USD 25/mo converted. Free tier pauses inactive projects; Pro needed for auth reliability.</t>
  </si>
  <si>
    <t xml:space="preserve">Netlify Pro</t>
  </si>
  <si>
    <t xml:space="preserve">Netlify Pro is USD 20/mo on credit tiers since July 14, 2026 (function compute counts as credits).</t>
  </si>
  <si>
    <t xml:space="preserve">Google Workspace (hello@flourishmoney.app)</t>
  </si>
  <si>
    <t xml:space="preserve">DEPLOY.md DNS shows Google Workspace on the domain.</t>
  </si>
  <si>
    <t xml:space="preserve">Domain, Sentry, AI subscriptions (Claude plan with Claude Code, ChatGPT, Grok), QuickBooks, misc</t>
  </si>
  <si>
    <t xml:space="preserve">Sept 10 review: Sentry 35 + AI subscriptions about 250 + QuickBooks 30 + domain and misc. Scenario B fixed base now about 400 CAD; one cell feeds every breakeven figure.</t>
  </si>
  <si>
    <t xml:space="preserve">Funnel</t>
  </si>
  <si>
    <t xml:space="preserve">Trial-to-paid conversion</t>
  </si>
  <si>
    <t xml:space="preserve">Assumption. Consumer finance freemium typically 2 to 6%; B higher because free users are not getting the full product.</t>
  </si>
  <si>
    <t xml:space="preserve">Monthly paid churn</t>
  </si>
  <si>
    <t xml:space="preserve">Assumption. Subscription finance apps see 4 to 8% monthly.</t>
  </si>
  <si>
    <t xml:space="preserve">Share of non-converting signups still active as free users</t>
  </si>
  <si>
    <t xml:space="preserve">Assumption. Free users who stay cost money (A) or nothing (B).</t>
  </si>
  <si>
    <t xml:space="preserve">Plan inputs added Sept 10, 2026 (feed the Plan Check sheet)</t>
  </si>
  <si>
    <t xml:space="preserve">Founding annual price CAD</t>
  </si>
  <si>
    <t xml:space="preserve">DECISIONS.md: first 100 founding households, locked while continuously subscribed.</t>
  </si>
  <si>
    <t xml:space="preserve">Stripe Tax % of taxed transactions</t>
  </si>
  <si>
    <t xml:space="preserve">Stripe Tax no-code 0.5% (stripe.com/en-ca/pricing). Applies once GST/HST is charged.</t>
  </si>
  <si>
    <t xml:space="preserve">Personal invitations sent by Dec 12</t>
  </si>
  <si>
    <t xml:space="preserve">Operating plan v3: 45 in weeks 2 to 4, then 15 a week through Dec 5. Stretch 250.</t>
  </si>
  <si>
    <t xml:space="preserve">Invitation to started-trial rate</t>
  </si>
  <si>
    <t xml:space="preserve">Assumption: warm invitations start at 60 to 70 percent.</t>
  </si>
  <si>
    <t xml:space="preserve">Self-serve trials by Dec 12</t>
  </si>
  <si>
    <t xml:space="preserve">Reads the v3 cell below (one source).</t>
  </si>
  <si>
    <t xml:space="preserve">Self-serve conversion</t>
  </si>
  <si>
    <t xml:space="preserve">Assumption 5 to 10%; kill line 3% at 100 trials, 5% at 300.</t>
  </si>
  <si>
    <t xml:space="preserve">Blended revenue per paying household / month (for MRR)</t>
  </si>
  <si>
    <t xml:space="preserve">Mix of founding 6.67, annual 8.33 and monthly 11.99; used for the hire-trigger table.</t>
  </si>
  <si>
    <t xml:space="preserve">Contribution share of MRR (after fees, Apple 15% on iOS share, variable costs)</t>
  </si>
  <si>
    <t xml:space="preserve">Operating plan Finance: about 0.7 blended. Recompute from Unit Economics as real data arrives.</t>
  </si>
  <si>
    <t xml:space="preserve">Fixed costs incl. AI subscriptions (CAD/mo)</t>
  </si>
  <si>
    <t xml:space="preserve">Same cell family as Unit Economics fixed costs (rows 34 to 37); do not type a separate number here.</t>
  </si>
  <si>
    <t xml:space="preserve">Started invited trials that pay at the founding price</t>
  </si>
  <si>
    <t xml:space="preserve">Assumption; Phase 1 kill line is 8 of 30.</t>
  </si>
  <si>
    <t xml:space="preserve">Self-serve trials started by Dec 12</t>
  </si>
  <si>
    <t xml:space="preserve">Operating plan v3 commit; stretch 300. Door opens Oct 19.</t>
  </si>
  <si>
    <t xml:space="preserve">Share of self-serve trials that have expired by Dec 12</t>
  </si>
  <si>
    <t xml:space="preserve">Only trials started by Nov 28 can pay by Dec 12.</t>
  </si>
  <si>
    <t xml:space="preserve">Loaded cost multiplier on base salary (employees)</t>
  </si>
  <si>
    <t xml:space="preserve">CPP, EI, EHT, vacation, tools; Sept 10 People review.</t>
  </si>
  <si>
    <t xml:space="preserve">Per-user economics, per month (CAD)</t>
  </si>
  <si>
    <t xml:space="preserve">Metric</t>
  </si>
  <si>
    <t xml:space="preserve">A: Current</t>
  </si>
  <si>
    <t xml:space="preserve">B: Narrowed</t>
  </si>
  <si>
    <t xml:space="preserve">How it is calculated</t>
  </si>
  <si>
    <t xml:space="preserve">Revenue per paying user</t>
  </si>
  <si>
    <t xml:space="preserve">Blended revenue per paid user / month</t>
  </si>
  <si>
    <t xml:space="preserve">CA share x CAD blended (annual/12 and monthly by plan mix) + US share x USD blended x FX</t>
  </si>
  <si>
    <t xml:space="preserve">Variable costs per paying user</t>
  </si>
  <si>
    <t xml:space="preserve">Payment processing</t>
  </si>
  <si>
    <t xml:space="preserve">Revenue x (Stripe % + Billing % + intl % on US share) + fixed fee per charge (annual users are charged once per 12 months)</t>
  </si>
  <si>
    <t xml:space="preserve">Share who link x (accounts x per-account + other) x FX</t>
  </si>
  <si>
    <t xml:space="preserve">AI coach (Claude)</t>
  </si>
  <si>
    <t xml:space="preserve">Messages x (system tokens at cached or full rate + fresh input + output) / 1M x FX</t>
  </si>
  <si>
    <t xml:space="preserve">Total variable cost per paid user</t>
  </si>
  <si>
    <t xml:space="preserve">Contribution margin per paid user / month</t>
  </si>
  <si>
    <t xml:space="preserve">Revenue minus variable cost</t>
  </si>
  <si>
    <t xml:space="preserve">Contribution margin %</t>
  </si>
  <si>
    <t xml:space="preserve">Lifetime contribution per paid user</t>
  </si>
  <si>
    <t xml:space="preserve">Margin / monthly churn. This is the ceiling on what you can spend to acquire one paying user.</t>
  </si>
  <si>
    <t xml:space="preserve">Cost of a FREE user (no revenue)</t>
  </si>
  <si>
    <t xml:space="preserve">Same formula using the free-user link share</t>
  </si>
  <si>
    <t xml:space="preserve">Free users get FREE_LIMIT messages</t>
  </si>
  <si>
    <t xml:space="preserve">Total cost per free user / month</t>
  </si>
  <si>
    <t xml:space="preserve">Mix and breakeven</t>
  </si>
  <si>
    <t xml:space="preserve">Active free users per paying user</t>
  </si>
  <si>
    <t xml:space="preserve">(1 - conversion) x free retention / conversion</t>
  </si>
  <si>
    <t xml:space="preserve">Margin per paid user after carrying its free users</t>
  </si>
  <si>
    <t xml:space="preserve">Margin minus (free users per paid x free cost)</t>
  </si>
  <si>
    <t xml:space="preserve">Fixed costs / month</t>
  </si>
  <si>
    <t xml:space="preserve">Sum of fixed cost inputs</t>
  </si>
  <si>
    <t xml:space="preserve">Paying users to break even</t>
  </si>
  <si>
    <t xml:space="preserve">Fixed / net margin per paid user</t>
  </si>
  <si>
    <t xml:space="preserve">Total active users at breakeven</t>
  </si>
  <si>
    <t xml:space="preserve">Paid x (1 + free per paid)</t>
  </si>
  <si>
    <t xml:space="preserve">Cumulative trial signups needed</t>
  </si>
  <si>
    <t xml:space="preserve">Paid / conversion (ignores churn replacement)</t>
  </si>
  <si>
    <t xml:space="preserve">Paying users for $2,000/mo profit</t>
  </si>
  <si>
    <t xml:space="preserve">Paying users for $5,000/mo profit</t>
  </si>
  <si>
    <t xml:space="preserve">New paying users needed per month just to replace churn (at $5k level)</t>
  </si>
  <si>
    <t xml:space="preserve">Paid base x churn. Divide by conversion for signups needed per month.</t>
  </si>
  <si>
    <t xml:space="preserve">Monthly P&amp;L at different user counts (CAD)</t>
  </si>
  <si>
    <t xml:space="preserve">Total active users = paying + retained free. Paid share comes from the free-per-paid ratio on Unit Economics.</t>
  </si>
  <si>
    <t xml:space="preserve">Scenario A: Current (CA+US)</t>
  </si>
  <si>
    <t xml:space="preserve">Total active users</t>
  </si>
  <si>
    <t xml:space="preserve">Paying users</t>
  </si>
  <si>
    <t xml:space="preserve">Free users</t>
  </si>
  <si>
    <t xml:space="preserve">Revenue</t>
  </si>
  <si>
    <t xml:space="preserve">Variable cost (paid)</t>
  </si>
  <si>
    <t xml:space="preserve">Free-user cost</t>
  </si>
  <si>
    <t xml:space="preserve">Fixed cost</t>
  </si>
  <si>
    <t xml:space="preserve">Profit / month</t>
  </si>
  <si>
    <t xml:space="preserve">Margin %</t>
  </si>
  <si>
    <t xml:space="preserve">Scenario B: Narrowed (Canada, links Plus-only)</t>
  </si>
  <si>
    <t xml:space="preserve">Scenario B, monthly-plan price vs conversion (CAD, Canada only)</t>
  </si>
  <si>
    <t xml:space="preserve">Each cell = paying users needed to break even at that price and conversion. Uses Scenario B costs; annual plan share set to 0 here so the price is a pure monthly price.</t>
  </si>
  <si>
    <t xml:space="preserve">Variable cost per paid user excl. payment fees (Scenario B)</t>
  </si>
  <si>
    <t xml:space="preserve">Cost per free user (Scenario B)</t>
  </si>
  <si>
    <t xml:space="preserve">Fixed costs (Scenario B)</t>
  </si>
  <si>
    <t xml:space="preserve">Free retention (Scenario B)</t>
  </si>
  <si>
    <t xml:space="preserve">Monthly price (CAD)</t>
  </si>
  <si>
    <t xml:space="preserve">Payment fees</t>
  </si>
  <si>
    <t xml:space="preserve">Margin per paid user</t>
  </si>
  <si>
    <t xml:space="preserve">Price \ Conversion</t>
  </si>
  <si>
    <t xml:space="preserve">Cumulative trial signups needed for $3,000/mo profit</t>
  </si>
  <si>
    <t xml:space="preserve">Plan Check: Dec 12 target and hire triggers (all formulas read Inputs)</t>
  </si>
  <si>
    <t xml:space="preserve">Paying households by Dec 12</t>
  </si>
  <si>
    <t xml:space="preserve">From invited households (invitations x start rate x pay rate)</t>
  </si>
  <si>
    <t xml:space="preserve">From self-serve trials (started x expired share x conversion)</t>
  </si>
  <si>
    <t xml:space="preserve">Total paying by Dec 12 (commit 50; stretch 100 needs 250 invitations and 300 self-serve)</t>
  </si>
  <si>
    <t xml:space="preserve">Cash collected before tax if invited take founding annual and self-serve pay two months</t>
  </si>
  <si>
    <t xml:space="preserve">MRR-equivalent at Dec 12</t>
  </si>
  <si>
    <t xml:space="preserve">Started trials in all (invited started plus self-serve)</t>
  </si>
  <si>
    <t xml:space="preserve">Hire triggers</t>
  </si>
  <si>
    <t xml:space="preserve">Rule: 0.7 x MRR minus fixed costs (Inputs B52, about 400) minus existing payroll &gt;= 2 x the new hire's loaded cost, three consecutive months, plus three months of cash. Loaded costs sourced Sept 10 (People review).</t>
  </si>
  <si>
    <t xml:space="preserve">Order</t>
  </si>
  <si>
    <t xml:space="preserve">Role</t>
  </si>
  <si>
    <t xml:space="preserve">Loaded cost / month</t>
  </si>
  <si>
    <t xml:space="preserve">Existing payroll before this hire</t>
  </si>
  <si>
    <t xml:space="preserve">MRR needed (formula)</t>
  </si>
  <si>
    <t xml:space="preserve">Trigger (rounded up to 500)</t>
  </si>
  <si>
    <t xml:space="preserve">Paying households at trigger</t>
  </si>
  <si>
    <t xml:space="preserve">Support and Community Lead (part-time employee)</t>
  </si>
  <si>
    <t xml:space="preserve">Bookkeeper (part-time contractor)</t>
  </si>
  <si>
    <t xml:space="preserve">Growth Marketer</t>
  </si>
  <si>
    <t xml:space="preserve">Engineer 1 (senior base about 120k x 1.2)</t>
  </si>
  <si>
    <t xml:space="preserve">Product Lead + Product Designer (about 90k base each x 1.2)</t>
  </si>
  <si>
    <t xml:space="preserve">QA Engineer (about 85k x 1.2)</t>
  </si>
  <si>
    <t xml:space="preserve">Data Analyst (about 85k x 1.2)</t>
  </si>
  <si>
    <t xml:space="preserve">Partnerships Lead (about 85k x 1.2 plus commission)</t>
  </si>
  <si>
    <t xml:space="preserve">Counsel (retained)</t>
  </si>
  <si>
    <t xml:space="preserve">Ops Manager</t>
  </si>
  <si>
    <t xml:space="preserve">Channel forecast to December 12 (started trials) and weekly actuals from signup_completed source and utm_source</t>
  </si>
  <si>
    <t xml:space="preserve">Channel</t>
  </si>
  <si>
    <t xml:space="preserve">Forecast started trials by Dec 12 (commit)</t>
  </si>
  <si>
    <t xml:space="preserve">Stretch</t>
  </si>
  <si>
    <t xml:space="preserve">W1 actual</t>
  </si>
  <si>
    <t xml:space="preserve">W2 actual</t>
  </si>
  <si>
    <t xml:space="preserve">W3 actual</t>
  </si>
  <si>
    <t xml:space="preserve">W4 actual</t>
  </si>
  <si>
    <t xml:space="preserve">W5 actual</t>
  </si>
  <si>
    <t xml:space="preserve">W6 actual</t>
  </si>
  <si>
    <t xml:space="preserve">W7 actual</t>
  </si>
  <si>
    <t xml:space="preserve">W8 actual</t>
  </si>
  <si>
    <t xml:space="preserve">W9 actual</t>
  </si>
  <si>
    <t xml:space="preserve">W10 actual</t>
  </si>
  <si>
    <t xml:space="preserve">W11 actual</t>
  </si>
  <si>
    <t xml:space="preserve">W12 actual</t>
  </si>
  <si>
    <t xml:space="preserve">W13 actual</t>
  </si>
  <si>
    <t xml:space="preserve">Personal invitations (founder network, prior correspondents)</t>
  </si>
  <si>
    <t xml:space="preserve">invited</t>
  </si>
  <si>
    <t xml:space="preserve">Waitlist rows under six months old, launch email</t>
  </si>
  <si>
    <t xml:space="preserve">Member referrals (who invited you)</t>
  </si>
  <si>
    <t xml:space="preserve">Open web signup from Oct 19 (social, community, PR)</t>
  </si>
  <si>
    <t xml:space="preserve">self_serve</t>
  </si>
  <si>
    <t xml:space="preserve">App Store from mid November</t>
  </si>
  <si>
    <t xml:space="preserve">CCB clawback page and other wedge pages</t>
  </si>
  <si>
    <t xml:space="preserve">Paid test Nov 2 to 15</t>
  </si>
  <si>
    <t xml:space="preserve">Partner code (letter of intent)</t>
  </si>
  <si>
    <t xml:space="preserve">Invited started, total</t>
  </si>
  <si>
    <t xml:space="preserve">Self-serve started, total</t>
  </si>
  <si>
    <t xml:space="preserve">All started trials</t>
  </si>
  <si>
    <t xml:space="preserve">Fill one weekly actual column every Monday (week 1 = Sept 14 to 20). Forecast cells are blue and editable; invited starts here equal Inputs invitations x start rate (150 x 0.65, about 98) and self-serve equals Inputs self-serve trials (130); keep them equal when either changes.</t>
  </si>
  <si>
    <t xml:space="preserve">Thirteen-week cash view, September 14 to December 12, 2026 (CAD, before tax)</t>
  </si>
  <si>
    <t xml:space="preserve">Outflows</t>
  </si>
  <si>
    <t xml:space="preserve">Fixed costs, 3 months (Inputs B52)</t>
  </si>
  <si>
    <t xml:space="preserve">Lawyer, fixed-fee review (estimate)</t>
  </si>
  <si>
    <t xml:space="preserve">Trademark filing, CIPO fees plus agent (estimate)</t>
  </si>
  <si>
    <t xml:space="preserve">Paid test</t>
  </si>
  <si>
    <t xml:space="preserve">QuickBooks, 3 months</t>
  </si>
  <si>
    <t xml:space="preserve">Total outflows</t>
  </si>
  <si>
    <t xml:space="preserve">Inflows, commit case</t>
  </si>
  <si>
    <t xml:space="preserve">Gross cash collected before tax by Dec 12 (Plan Check B7)</t>
  </si>
  <si>
    <t xml:space="preserve">Net for the quarter, commit case</t>
  </si>
  <si>
    <t xml:space="preserve">Inflows, stretch case</t>
  </si>
  <si>
    <t xml:space="preserve">Gross cash, stretch (85 founding annual plus 15 monthly x 2)</t>
  </si>
  <si>
    <t xml:space="preserve">Net for the quarter, stretch case</t>
  </si>
  <si>
    <t xml:space="preserve">Monthly run-rate after Dec 12, commit case (contribution minus fixed)</t>
  </si>
  <si>
    <t xml:space="preserve">Monthly run-rate after Dec 12, stretch case</t>
  </si>
  <si>
    <t xml:space="preserve">Reading: the commit case needs about 1,100 CAD of founder funding this quarter and about 130 a month after it; the stretch case is cash positive. One-time estimates are blue and editable.</t>
  </si>
</sst>
</file>

<file path=xl/styles.xml><?xml version="1.0" encoding="utf-8"?>
<styleSheet xmlns="http://schemas.openxmlformats.org/spreadsheetml/2006/main">
  <numFmts count="8">
    <numFmt numFmtId="164" formatCode="General"/>
    <numFmt numFmtId="165" formatCode="\$#,##0.00;&quot;($&quot;#,##0.00\);\-"/>
    <numFmt numFmtId="166" formatCode="0.0%"/>
    <numFmt numFmtId="167" formatCode="0.00"/>
    <numFmt numFmtId="168" formatCode="0.0"/>
    <numFmt numFmtId="169" formatCode="#,##0"/>
    <numFmt numFmtId="170" formatCode="0"/>
    <numFmt numFmtId="171" formatCode="\$#,##0;&quot;($&quot;#,##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1"/>
      <color theme="1"/>
      <name val="Arial"/>
      <family val="0"/>
      <charset val="1"/>
    </font>
    <font>
      <i val="true"/>
      <sz val="9"/>
      <name val="Arial"/>
      <family val="0"/>
      <charset val="1"/>
    </font>
    <font>
      <b val="true"/>
      <sz val="11"/>
      <color rgb="FFFFFFFF"/>
      <name val="Arial"/>
      <family val="0"/>
      <charset val="1"/>
    </font>
    <font>
      <sz val="11"/>
      <color rgb="FF0000FF"/>
      <name val="Arial"/>
      <family val="0"/>
      <charset val="1"/>
    </font>
    <font>
      <sz val="9"/>
      <color rgb="FF555555"/>
      <name val="Arial"/>
      <family val="0"/>
      <charset val="1"/>
    </font>
    <font>
      <b val="true"/>
      <sz val="11"/>
      <name val="Cambria"/>
      <family val="0"/>
      <charset val="1"/>
    </font>
    <font>
      <sz val="11"/>
      <color rgb="FF1F4E79"/>
      <name val="Cambria"/>
      <family val="0"/>
      <charset val="1"/>
    </font>
    <font>
      <i val="true"/>
      <sz val="11"/>
      <color rgb="FF666666"/>
      <name val="Cambria"/>
      <family val="0"/>
      <charset val="1"/>
    </font>
    <font>
      <sz val="11"/>
      <color rgb="FF008000"/>
      <name val="Arial"/>
      <family val="0"/>
      <charset val="1"/>
    </font>
    <font>
      <b val="true"/>
      <sz val="12"/>
      <name val="Cambria"/>
      <family val="0"/>
      <charset val="1"/>
    </font>
  </fonts>
  <fills count="6">
    <fill>
      <patternFill patternType="none"/>
    </fill>
    <fill>
      <patternFill patternType="gray125"/>
    </fill>
    <fill>
      <patternFill patternType="solid">
        <fgColor rgb="FF1F4E3D"/>
        <bgColor rgb="FF1F4E79"/>
      </patternFill>
    </fill>
    <fill>
      <patternFill patternType="solid">
        <fgColor rgb="FFEDEDED"/>
        <bgColor rgb="FFDDEBF7"/>
      </patternFill>
    </fill>
    <fill>
      <patternFill patternType="solid">
        <fgColor rgb="FFFFFF00"/>
        <bgColor rgb="FFFFFF00"/>
      </patternFill>
    </fill>
    <fill>
      <patternFill patternType="solid">
        <fgColor rgb="FFDDEBF7"/>
        <bgColor rgb="FFEDEDED"/>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70" fontId="10" fillId="4"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9" fillId="2" borderId="0" xfId="0" applyFont="true" applyBorder="false" applyAlignment="true" applyProtection="false">
      <alignment horizontal="center"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DEDE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555555"/>
      <rgbColor rgb="FF993300"/>
      <rgbColor rgb="FF993366"/>
      <rgbColor rgb="FF1F4E7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26.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39" hidden="false" customHeight="true" outlineLevel="0" collapsed="false">
      <c r="A5" s="3" t="s">
        <v>3</v>
      </c>
    </row>
    <row r="6" customFormat="false" ht="26.25" hidden="false" customHeight="true" outlineLevel="0" collapsed="false">
      <c r="A6" s="3" t="s">
        <v>4</v>
      </c>
    </row>
    <row r="7" customFormat="false" ht="15" hidden="false" customHeight="true" outlineLevel="0" collapsed="false">
      <c r="A7" s="3" t="s">
        <v>5</v>
      </c>
    </row>
    <row r="8" customFormat="false" ht="26.2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26.25" hidden="false" customHeight="true" outlineLevel="0" collapsed="false">
      <c r="A11" s="3" t="s">
        <v>8</v>
      </c>
    </row>
    <row r="12" customFormat="false" ht="39" hidden="false" customHeight="true" outlineLevel="0" collapsed="false">
      <c r="A12" s="3" t="s">
        <v>9</v>
      </c>
    </row>
    <row r="13" customFormat="false" ht="26.25" hidden="false" customHeight="true" outlineLevel="0" collapsed="false">
      <c r="A13" s="3" t="s">
        <v>10</v>
      </c>
    </row>
    <row r="14" customFormat="false" ht="15" hidden="false" customHeight="true" outlineLevel="0" collapsed="false">
      <c r="A14" s="3"/>
    </row>
    <row r="15" customFormat="false" ht="15" hidden="false" customHeight="true" outlineLevel="0" collapsed="false">
      <c r="A15" s="4" t="s">
        <v>11</v>
      </c>
    </row>
    <row r="16" customFormat="false" ht="26.25" hidden="false" customHeight="true" outlineLevel="0" collapsed="false">
      <c r="A16" s="3" t="s">
        <v>12</v>
      </c>
    </row>
    <row r="18" customFormat="false" ht="15" hidden="false" customHeight="true" outlineLevel="0" collapsed="false">
      <c r="A18" s="1"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3" min="2" style="1" width="14"/>
    <col collapsed="false" customWidth="true" hidden="false" outlineLevel="0" max="4" min="4" style="1" width="70"/>
  </cols>
  <sheetData>
    <row r="1" customFormat="false" ht="17.25" hidden="false" customHeight="true" outlineLevel="0" collapsed="false">
      <c r="A1" s="5" t="s">
        <v>14</v>
      </c>
      <c r="B1" s="6"/>
      <c r="C1" s="6"/>
      <c r="D1" s="6"/>
    </row>
    <row r="2" customFormat="false" ht="15" hidden="false" customHeight="true" outlineLevel="0" collapsed="false">
      <c r="A2" s="7" t="s">
        <v>15</v>
      </c>
      <c r="B2" s="6"/>
      <c r="C2" s="6"/>
      <c r="D2" s="6"/>
    </row>
    <row r="3" customFormat="false" ht="51.75" hidden="false" customHeight="true" outlineLevel="0" collapsed="false">
      <c r="A3" s="8" t="s">
        <v>16</v>
      </c>
      <c r="B3" s="8" t="s">
        <v>17</v>
      </c>
      <c r="C3" s="8" t="s">
        <v>18</v>
      </c>
      <c r="D3" s="8" t="s">
        <v>19</v>
      </c>
    </row>
    <row r="4" customFormat="false" ht="15" hidden="false" customHeight="true" outlineLevel="0" collapsed="false">
      <c r="A4" s="9" t="s">
        <v>20</v>
      </c>
      <c r="B4" s="10"/>
      <c r="C4" s="10"/>
      <c r="D4" s="10"/>
    </row>
    <row r="5" customFormat="false" ht="15" hidden="false" customHeight="true" outlineLevel="0" collapsed="false">
      <c r="A5" s="11" t="s">
        <v>21</v>
      </c>
      <c r="B5" s="12" t="n">
        <v>9.99</v>
      </c>
      <c r="C5" s="12" t="n">
        <v>11.99</v>
      </c>
      <c r="D5" s="13" t="s">
        <v>22</v>
      </c>
    </row>
    <row r="6" customFormat="false" ht="15" hidden="false" customHeight="true" outlineLevel="0" collapsed="false">
      <c r="A6" s="11" t="s">
        <v>23</v>
      </c>
      <c r="B6" s="14" t="n">
        <v>79.99</v>
      </c>
      <c r="C6" s="14" t="n">
        <v>99.99</v>
      </c>
      <c r="D6" s="13" t="s">
        <v>24</v>
      </c>
    </row>
    <row r="7" customFormat="false" ht="15" hidden="false" customHeight="true" outlineLevel="0" collapsed="false">
      <c r="A7" s="11" t="s">
        <v>25</v>
      </c>
      <c r="B7" s="14" t="n">
        <v>7.99</v>
      </c>
      <c r="C7" s="14" t="n">
        <v>0</v>
      </c>
      <c r="D7" s="13" t="s">
        <v>26</v>
      </c>
    </row>
    <row r="8" customFormat="false" ht="15" hidden="false" customHeight="true" outlineLevel="0" collapsed="false">
      <c r="A8" s="11" t="s">
        <v>27</v>
      </c>
      <c r="B8" s="14" t="n">
        <v>59.99</v>
      </c>
      <c r="C8" s="14" t="n">
        <v>0</v>
      </c>
      <c r="D8" s="13" t="s">
        <v>28</v>
      </c>
    </row>
    <row r="9" customFormat="false" ht="15" hidden="false" customHeight="true" outlineLevel="0" collapsed="false">
      <c r="A9" s="11" t="s">
        <v>29</v>
      </c>
      <c r="B9" s="15" t="n">
        <v>0.4</v>
      </c>
      <c r="C9" s="15" t="n">
        <v>0.4</v>
      </c>
      <c r="D9" s="13" t="s">
        <v>30</v>
      </c>
    </row>
    <row r="10" customFormat="false" ht="15" hidden="false" customHeight="true" outlineLevel="0" collapsed="false">
      <c r="A10" s="11" t="s">
        <v>31</v>
      </c>
      <c r="B10" s="16" t="n">
        <v>0.6</v>
      </c>
      <c r="C10" s="16" t="n">
        <v>1</v>
      </c>
      <c r="D10" s="13" t="s">
        <v>32</v>
      </c>
    </row>
    <row r="11" customFormat="false" ht="15" hidden="false" customHeight="true" outlineLevel="0" collapsed="false">
      <c r="A11" s="11" t="s">
        <v>33</v>
      </c>
      <c r="B11" s="17" t="n">
        <v>1.36</v>
      </c>
      <c r="C11" s="17" t="n">
        <v>1.36</v>
      </c>
      <c r="D11" s="13" t="s">
        <v>34</v>
      </c>
    </row>
    <row r="12" customFormat="false" ht="15" hidden="false" customHeight="true" outlineLevel="0" collapsed="false">
      <c r="A12" s="9" t="s">
        <v>35</v>
      </c>
      <c r="B12" s="10"/>
      <c r="C12" s="10"/>
      <c r="D12" s="10"/>
    </row>
    <row r="13" customFormat="false" ht="15" hidden="false" customHeight="true" outlineLevel="0" collapsed="false">
      <c r="A13" s="11" t="s">
        <v>36</v>
      </c>
      <c r="B13" s="15" t="n">
        <v>0.029</v>
      </c>
      <c r="C13" s="15" t="n">
        <v>0.029</v>
      </c>
      <c r="D13" s="13" t="s">
        <v>37</v>
      </c>
    </row>
    <row r="14" customFormat="false" ht="15" hidden="false" customHeight="true" outlineLevel="0" collapsed="false">
      <c r="A14" s="11" t="s">
        <v>38</v>
      </c>
      <c r="B14" s="14" t="n">
        <v>0.3</v>
      </c>
      <c r="C14" s="14" t="n">
        <v>0.3</v>
      </c>
      <c r="D14" s="13" t="s">
        <v>39</v>
      </c>
    </row>
    <row r="15" customFormat="false" ht="15" hidden="false" customHeight="true" outlineLevel="0" collapsed="false">
      <c r="A15" s="11" t="s">
        <v>40</v>
      </c>
      <c r="B15" s="15" t="n">
        <v>0.007</v>
      </c>
      <c r="C15" s="15" t="n">
        <v>0.007</v>
      </c>
      <c r="D15" s="13" t="s">
        <v>41</v>
      </c>
    </row>
    <row r="16" customFormat="false" ht="15" hidden="false" customHeight="true" outlineLevel="0" collapsed="false">
      <c r="A16" s="11" t="s">
        <v>42</v>
      </c>
      <c r="B16" s="15" t="n">
        <v>0.025</v>
      </c>
      <c r="C16" s="15" t="n">
        <v>0.025</v>
      </c>
      <c r="D16" s="13" t="s">
        <v>43</v>
      </c>
    </row>
    <row r="17" customFormat="false" ht="15" hidden="false" customHeight="true" outlineLevel="0" collapsed="false">
      <c r="A17" s="9" t="s">
        <v>44</v>
      </c>
      <c r="B17" s="10"/>
      <c r="C17" s="10"/>
      <c r="D17" s="10"/>
    </row>
    <row r="18" customFormat="false" ht="32.25" hidden="false" customHeight="true" outlineLevel="0" collapsed="false">
      <c r="A18" s="11" t="s">
        <v>45</v>
      </c>
      <c r="B18" s="12" t="n">
        <v>0.3</v>
      </c>
      <c r="C18" s="12" t="n">
        <v>0.3</v>
      </c>
      <c r="D18" s="13" t="s">
        <v>46</v>
      </c>
    </row>
    <row r="19" customFormat="false" ht="21.75" hidden="false" customHeight="true" outlineLevel="0" collapsed="false">
      <c r="A19" s="11" t="s">
        <v>47</v>
      </c>
      <c r="B19" s="14" t="n">
        <v>0.1</v>
      </c>
      <c r="C19" s="14" t="n">
        <v>0.1</v>
      </c>
      <c r="D19" s="13" t="s">
        <v>48</v>
      </c>
    </row>
    <row r="20" customFormat="false" ht="15" hidden="false" customHeight="true" outlineLevel="0" collapsed="false">
      <c r="A20" s="11" t="s">
        <v>49</v>
      </c>
      <c r="B20" s="18" t="n">
        <v>2.5</v>
      </c>
      <c r="C20" s="18" t="n">
        <v>2.5</v>
      </c>
      <c r="D20" s="13" t="s">
        <v>50</v>
      </c>
    </row>
    <row r="21" customFormat="false" ht="21.75" hidden="false" customHeight="true" outlineLevel="0" collapsed="false">
      <c r="A21" s="11" t="s">
        <v>51</v>
      </c>
      <c r="B21" s="16" t="n">
        <v>0.5</v>
      </c>
      <c r="C21" s="16" t="n">
        <v>0</v>
      </c>
      <c r="D21" s="13" t="s">
        <v>52</v>
      </c>
    </row>
    <row r="22" customFormat="false" ht="15" hidden="false" customHeight="true" outlineLevel="0" collapsed="false">
      <c r="A22" s="11" t="s">
        <v>53</v>
      </c>
      <c r="B22" s="15" t="n">
        <v>0.9</v>
      </c>
      <c r="C22" s="15" t="n">
        <v>0.9</v>
      </c>
      <c r="D22" s="13" t="s">
        <v>16</v>
      </c>
    </row>
    <row r="23" customFormat="false" ht="15" hidden="false" customHeight="true" outlineLevel="0" collapsed="false">
      <c r="A23" s="9" t="s">
        <v>54</v>
      </c>
      <c r="B23" s="10"/>
      <c r="C23" s="10"/>
      <c r="D23" s="10"/>
    </row>
    <row r="24" customFormat="false" ht="21.75" hidden="false" customHeight="true" outlineLevel="0" collapsed="false">
      <c r="A24" s="11" t="s">
        <v>55</v>
      </c>
      <c r="B24" s="14" t="n">
        <v>3</v>
      </c>
      <c r="C24" s="14" t="n">
        <v>3</v>
      </c>
      <c r="D24" s="13" t="s">
        <v>56</v>
      </c>
    </row>
    <row r="25" customFormat="false" ht="15" hidden="false" customHeight="true" outlineLevel="0" collapsed="false">
      <c r="A25" s="11" t="s">
        <v>57</v>
      </c>
      <c r="B25" s="14" t="n">
        <v>15</v>
      </c>
      <c r="C25" s="14" t="n">
        <v>15</v>
      </c>
      <c r="D25" s="13" t="s">
        <v>39</v>
      </c>
    </row>
    <row r="26" customFormat="false" ht="21.75" hidden="false" customHeight="true" outlineLevel="0" collapsed="false">
      <c r="A26" s="11" t="s">
        <v>58</v>
      </c>
      <c r="B26" s="14" t="n">
        <v>0.3</v>
      </c>
      <c r="C26" s="14" t="n">
        <v>0.3</v>
      </c>
      <c r="D26" s="13" t="s">
        <v>59</v>
      </c>
    </row>
    <row r="27" customFormat="false" ht="15" hidden="false" customHeight="true" outlineLevel="0" collapsed="false">
      <c r="A27" s="11" t="s">
        <v>60</v>
      </c>
      <c r="B27" s="19" t="n">
        <v>6000</v>
      </c>
      <c r="C27" s="19" t="n">
        <v>6000</v>
      </c>
      <c r="D27" s="13" t="s">
        <v>61</v>
      </c>
    </row>
    <row r="28" customFormat="false" ht="15" hidden="false" customHeight="true" outlineLevel="0" collapsed="false">
      <c r="A28" s="11" t="s">
        <v>62</v>
      </c>
      <c r="B28" s="19" t="n">
        <v>2000</v>
      </c>
      <c r="C28" s="19" t="n">
        <v>2000</v>
      </c>
      <c r="D28" s="13" t="s">
        <v>63</v>
      </c>
    </row>
    <row r="29" customFormat="false" ht="15" hidden="false" customHeight="true" outlineLevel="0" collapsed="false">
      <c r="A29" s="11" t="s">
        <v>64</v>
      </c>
      <c r="B29" s="19" t="n">
        <v>350</v>
      </c>
      <c r="C29" s="19" t="n">
        <v>350</v>
      </c>
      <c r="D29" s="13" t="s">
        <v>65</v>
      </c>
    </row>
    <row r="30" customFormat="false" ht="15" hidden="false" customHeight="true" outlineLevel="0" collapsed="false">
      <c r="A30" s="11" t="s">
        <v>66</v>
      </c>
      <c r="B30" s="20" t="n">
        <v>0</v>
      </c>
      <c r="C30" s="20" t="n">
        <v>1</v>
      </c>
      <c r="D30" s="13" t="s">
        <v>67</v>
      </c>
    </row>
    <row r="31" customFormat="false" ht="15" hidden="false" customHeight="true" outlineLevel="0" collapsed="false">
      <c r="A31" s="11" t="s">
        <v>68</v>
      </c>
      <c r="B31" s="19" t="n">
        <v>5</v>
      </c>
      <c r="C31" s="19" t="n">
        <v>8.67</v>
      </c>
      <c r="D31" s="13" t="s">
        <v>69</v>
      </c>
    </row>
    <row r="32" customFormat="false" ht="15" hidden="false" customHeight="true" outlineLevel="0" collapsed="false">
      <c r="A32" s="11" t="s">
        <v>70</v>
      </c>
      <c r="B32" s="21" t="n">
        <v>40</v>
      </c>
      <c r="C32" s="21" t="n">
        <v>25</v>
      </c>
      <c r="D32" s="13" t="s">
        <v>71</v>
      </c>
    </row>
    <row r="33" customFormat="false" ht="15" hidden="false" customHeight="true" outlineLevel="0" collapsed="false">
      <c r="A33" s="9" t="s">
        <v>72</v>
      </c>
      <c r="B33" s="10"/>
      <c r="C33" s="10"/>
      <c r="D33" s="10"/>
    </row>
    <row r="34" customFormat="false" ht="15" hidden="false" customHeight="true" outlineLevel="0" collapsed="false">
      <c r="A34" s="11" t="s">
        <v>73</v>
      </c>
      <c r="B34" s="14" t="n">
        <v>34</v>
      </c>
      <c r="C34" s="14" t="n">
        <v>34</v>
      </c>
      <c r="D34" s="13" t="s">
        <v>74</v>
      </c>
    </row>
    <row r="35" customFormat="false" ht="15" hidden="false" customHeight="true" outlineLevel="0" collapsed="false">
      <c r="A35" s="11" t="s">
        <v>75</v>
      </c>
      <c r="B35" s="14" t="n">
        <v>27</v>
      </c>
      <c r="C35" s="14" t="n">
        <v>27</v>
      </c>
      <c r="D35" s="13" t="s">
        <v>76</v>
      </c>
    </row>
    <row r="36" customFormat="false" ht="15" hidden="false" customHeight="true" outlineLevel="0" collapsed="false">
      <c r="A36" s="11" t="s">
        <v>77</v>
      </c>
      <c r="B36" s="14" t="n">
        <v>10</v>
      </c>
      <c r="C36" s="14" t="n">
        <v>10</v>
      </c>
      <c r="D36" s="13" t="s">
        <v>78</v>
      </c>
    </row>
    <row r="37" customFormat="false" ht="15" hidden="false" customHeight="true" outlineLevel="0" collapsed="false">
      <c r="A37" s="11" t="s">
        <v>79</v>
      </c>
      <c r="B37" s="14" t="n">
        <v>329</v>
      </c>
      <c r="C37" s="14" t="n">
        <v>329</v>
      </c>
      <c r="D37" s="13" t="s">
        <v>80</v>
      </c>
    </row>
    <row r="38" customFormat="false" ht="15" hidden="false" customHeight="true" outlineLevel="0" collapsed="false">
      <c r="A38" s="9" t="s">
        <v>81</v>
      </c>
      <c r="B38" s="10"/>
      <c r="C38" s="10"/>
      <c r="D38" s="10"/>
    </row>
    <row r="39" customFormat="false" ht="21.75" hidden="false" customHeight="true" outlineLevel="0" collapsed="false">
      <c r="A39" s="11" t="s">
        <v>82</v>
      </c>
      <c r="B39" s="16" t="n">
        <v>0.05</v>
      </c>
      <c r="C39" s="16" t="n">
        <v>0.08</v>
      </c>
      <c r="D39" s="13" t="s">
        <v>83</v>
      </c>
    </row>
    <row r="40" customFormat="false" ht="15" hidden="false" customHeight="true" outlineLevel="0" collapsed="false">
      <c r="A40" s="11" t="s">
        <v>84</v>
      </c>
      <c r="B40" s="16" t="n">
        <v>0.06</v>
      </c>
      <c r="C40" s="16" t="n">
        <v>0.05</v>
      </c>
      <c r="D40" s="13" t="s">
        <v>85</v>
      </c>
    </row>
    <row r="41" customFormat="false" ht="15" hidden="false" customHeight="true" outlineLevel="0" collapsed="false">
      <c r="A41" s="11" t="s">
        <v>86</v>
      </c>
      <c r="B41" s="15" t="n">
        <v>0.5</v>
      </c>
      <c r="C41" s="15" t="n">
        <v>0.3</v>
      </c>
      <c r="D41" s="13" t="s">
        <v>87</v>
      </c>
    </row>
    <row r="43" customFormat="false" ht="15" hidden="false" customHeight="true" outlineLevel="0" collapsed="false">
      <c r="A43" s="22" t="s">
        <v>88</v>
      </c>
    </row>
    <row r="44" customFormat="false" ht="15" hidden="false" customHeight="true" outlineLevel="0" collapsed="false">
      <c r="A44" s="1" t="s">
        <v>89</v>
      </c>
      <c r="B44" s="23" t="n">
        <v>79.99</v>
      </c>
      <c r="D44" s="24" t="s">
        <v>90</v>
      </c>
    </row>
    <row r="45" customFormat="false" ht="15" hidden="false" customHeight="true" outlineLevel="0" collapsed="false">
      <c r="A45" s="1" t="s">
        <v>91</v>
      </c>
      <c r="B45" s="23" t="n">
        <v>0.005</v>
      </c>
      <c r="D45" s="24" t="s">
        <v>92</v>
      </c>
    </row>
    <row r="46" customFormat="false" ht="15" hidden="false" customHeight="true" outlineLevel="0" collapsed="false">
      <c r="A46" s="1" t="s">
        <v>93</v>
      </c>
      <c r="B46" s="23" t="n">
        <v>150</v>
      </c>
      <c r="D46" s="24" t="s">
        <v>94</v>
      </c>
    </row>
    <row r="47" customFormat="false" ht="15" hidden="false" customHeight="true" outlineLevel="0" collapsed="false">
      <c r="A47" s="1" t="s">
        <v>95</v>
      </c>
      <c r="B47" s="23" t="n">
        <v>0.65</v>
      </c>
      <c r="D47" s="24" t="s">
        <v>96</v>
      </c>
    </row>
    <row r="48" customFormat="false" ht="15" hidden="false" customHeight="true" outlineLevel="0" collapsed="false">
      <c r="A48" s="1" t="s">
        <v>97</v>
      </c>
      <c r="B48" s="23" t="n">
        <f aca="false">B54</f>
        <v>130</v>
      </c>
      <c r="D48" s="24" t="s">
        <v>98</v>
      </c>
    </row>
    <row r="49" customFormat="false" ht="15" hidden="false" customHeight="true" outlineLevel="0" collapsed="false">
      <c r="A49" s="1" t="s">
        <v>99</v>
      </c>
      <c r="B49" s="23" t="n">
        <v>0.08</v>
      </c>
      <c r="D49" s="24" t="s">
        <v>100</v>
      </c>
    </row>
    <row r="50" customFormat="false" ht="15" hidden="false" customHeight="true" outlineLevel="0" collapsed="false">
      <c r="A50" s="1" t="s">
        <v>101</v>
      </c>
      <c r="B50" s="23" t="n">
        <v>9.5</v>
      </c>
      <c r="D50" s="24" t="s">
        <v>102</v>
      </c>
    </row>
    <row r="51" customFormat="false" ht="15" hidden="false" customHeight="true" outlineLevel="0" collapsed="false">
      <c r="A51" s="1" t="s">
        <v>103</v>
      </c>
      <c r="B51" s="23" t="n">
        <v>0.7</v>
      </c>
      <c r="D51" s="24" t="s">
        <v>104</v>
      </c>
    </row>
    <row r="52" customFormat="false" ht="15" hidden="false" customHeight="true" outlineLevel="0" collapsed="false">
      <c r="A52" s="1" t="s">
        <v>105</v>
      </c>
      <c r="B52" s="23" t="n">
        <f aca="false">SUM(B34:B37)</f>
        <v>400</v>
      </c>
      <c r="D52" s="24" t="s">
        <v>106</v>
      </c>
    </row>
    <row r="53" customFormat="false" ht="15" hidden="false" customHeight="true" outlineLevel="0" collapsed="false">
      <c r="A53" s="1" t="s">
        <v>107</v>
      </c>
      <c r="B53" s="23" t="n">
        <v>0.5</v>
      </c>
      <c r="D53" s="24" t="s">
        <v>108</v>
      </c>
    </row>
    <row r="54" customFormat="false" ht="15" hidden="false" customHeight="true" outlineLevel="0" collapsed="false">
      <c r="A54" s="1" t="s">
        <v>109</v>
      </c>
      <c r="B54" s="23" t="n">
        <v>130</v>
      </c>
      <c r="D54" s="24" t="s">
        <v>110</v>
      </c>
    </row>
    <row r="55" customFormat="false" ht="15" hidden="false" customHeight="true" outlineLevel="0" collapsed="false">
      <c r="A55" s="1" t="s">
        <v>111</v>
      </c>
      <c r="B55" s="23" t="n">
        <v>0.5</v>
      </c>
      <c r="D55" s="24" t="s">
        <v>112</v>
      </c>
    </row>
    <row r="56" customFormat="false" ht="15" hidden="false" customHeight="true" outlineLevel="0" collapsed="false">
      <c r="A56" s="1" t="s">
        <v>113</v>
      </c>
      <c r="B56" s="23" t="n">
        <v>1.2</v>
      </c>
      <c r="D56" s="24"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3" min="2" style="1" width="18"/>
    <col collapsed="false" customWidth="true" hidden="false" outlineLevel="0" max="4" min="4" style="1" width="60"/>
  </cols>
  <sheetData>
    <row r="1" customFormat="false" ht="17.25" hidden="false" customHeight="true" outlineLevel="0" collapsed="false">
      <c r="A1" s="5" t="s">
        <v>115</v>
      </c>
      <c r="B1" s="6"/>
      <c r="C1" s="6"/>
      <c r="D1" s="6"/>
    </row>
    <row r="2" customFormat="false" ht="15" hidden="false" customHeight="true" outlineLevel="0" collapsed="false">
      <c r="A2" s="6"/>
      <c r="B2" s="6"/>
      <c r="C2" s="6"/>
      <c r="D2" s="6"/>
    </row>
    <row r="3" customFormat="false" ht="15" hidden="false" customHeight="true" outlineLevel="0" collapsed="false">
      <c r="A3" s="8" t="s">
        <v>116</v>
      </c>
      <c r="B3" s="8" t="s">
        <v>117</v>
      </c>
      <c r="C3" s="8" t="s">
        <v>118</v>
      </c>
      <c r="D3" s="8" t="s">
        <v>119</v>
      </c>
    </row>
    <row r="4" customFormat="false" ht="15" hidden="false" customHeight="true" outlineLevel="0" collapsed="false">
      <c r="A4" s="9" t="s">
        <v>120</v>
      </c>
      <c r="B4" s="10"/>
      <c r="C4" s="10"/>
      <c r="D4" s="10"/>
    </row>
    <row r="5" customFormat="false" ht="15" hidden="false" customHeight="true" outlineLevel="0" collapsed="false">
      <c r="A5" s="11" t="s">
        <v>121</v>
      </c>
      <c r="B5" s="25" t="n">
        <f aca="false">Inputs!$B$10*(Inputs!$B$9*Inputs!$B$6/12+(1-Inputs!$B$9)*Inputs!$B$5)+(1-Inputs!$B$10)*(Inputs!$B$9*Inputs!$B$8/12+(1-Inputs!$B$9)*Inputs!$B$7)*Inputs!$B$11</f>
        <v>8.89195466666667</v>
      </c>
      <c r="C5" s="25" t="n">
        <f aca="false">Inputs!$C$10*(Inputs!$C$9*Inputs!$C$6/12+(1-Inputs!$C$9)*Inputs!$C$5)+(1-Inputs!$C$10)*(Inputs!$C$9*Inputs!$C$8/12+(1-Inputs!$C$9)*Inputs!$C$7)*Inputs!$C$11</f>
        <v>10.527</v>
      </c>
      <c r="D5" s="26" t="s">
        <v>122</v>
      </c>
    </row>
    <row r="6" customFormat="false" ht="15" hidden="false" customHeight="true" outlineLevel="0" collapsed="false">
      <c r="A6" s="9" t="s">
        <v>123</v>
      </c>
      <c r="B6" s="10"/>
      <c r="C6" s="10"/>
      <c r="D6" s="10"/>
    </row>
    <row r="7" customFormat="false" ht="15" hidden="false" customHeight="true" outlineLevel="0" collapsed="false">
      <c r="A7" s="11" t="s">
        <v>124</v>
      </c>
      <c r="B7" s="25" t="n">
        <f aca="false">B5*(Inputs!$B$13+Inputs!$B$15+(1-Inputs!$B$10)*Inputs!$B$16)+Inputs!$B$14*(Inputs!$B$9/12+(1-Inputs!$B$9))</f>
        <v>0.599029914666667</v>
      </c>
      <c r="C7" s="25" t="n">
        <f aca="false">C5*(Inputs!$C$13+Inputs!$C$15+(1-Inputs!$C$10)*Inputs!$C$16)+Inputs!$C$14*(Inputs!$C$9/12+(1-Inputs!$C$9))</f>
        <v>0.568972</v>
      </c>
      <c r="D7" s="26" t="s">
        <v>125</v>
      </c>
    </row>
    <row r="8" customFormat="false" ht="15" hidden="false" customHeight="true" outlineLevel="0" collapsed="false">
      <c r="A8" s="11" t="s">
        <v>44</v>
      </c>
      <c r="B8" s="25" t="n">
        <f aca="false">Inputs!$B$22*(Inputs!$B$20*Inputs!$B$18+Inputs!$B$19)*Inputs!$B$11</f>
        <v>1.0404</v>
      </c>
      <c r="C8" s="25" t="n">
        <f aca="false">Inputs!$C$22*(Inputs!$C$20*Inputs!$C$18+Inputs!$C$19)*Inputs!$C$11</f>
        <v>1.0404</v>
      </c>
      <c r="D8" s="26" t="s">
        <v>126</v>
      </c>
    </row>
    <row r="9" customFormat="false" ht="15" hidden="false" customHeight="true" outlineLevel="0" collapsed="false">
      <c r="A9" s="11" t="s">
        <v>127</v>
      </c>
      <c r="B9" s="25" t="n">
        <f aca="false">Inputs!$B$32*((Inputs!$B$27*IF(Inputs!$B$30=1,Inputs!$B$26,Inputs!$B$24)+Inputs!$B$28*Inputs!$B$24+Inputs!$B$29*Inputs!$B$25)/1000000)*Inputs!$B$11</f>
        <v>1.5912</v>
      </c>
      <c r="C9" s="25" t="n">
        <f aca="false">Inputs!$C$32*((Inputs!$C$27*IF(Inputs!$C$30=1,Inputs!$C$26,Inputs!$C$24)+Inputs!$C$28*Inputs!$C$24+Inputs!$C$29*Inputs!$C$25)/1000000)*Inputs!$C$11</f>
        <v>0.4437</v>
      </c>
      <c r="D9" s="26" t="s">
        <v>128</v>
      </c>
    </row>
    <row r="10" customFormat="false" ht="15" hidden="false" customHeight="true" outlineLevel="0" collapsed="false">
      <c r="A10" s="27" t="s">
        <v>129</v>
      </c>
      <c r="B10" s="28" t="n">
        <f aca="false">SUM(B7:B9)</f>
        <v>3.23062991466667</v>
      </c>
      <c r="C10" s="28" t="n">
        <f aca="false">SUM(C7:C9)</f>
        <v>2.053072</v>
      </c>
      <c r="D10" s="26"/>
    </row>
    <row r="11" customFormat="false" ht="15" hidden="false" customHeight="true" outlineLevel="0" collapsed="false">
      <c r="A11" s="27" t="s">
        <v>130</v>
      </c>
      <c r="B11" s="28" t="n">
        <f aca="false">B5-B10</f>
        <v>5.661324752</v>
      </c>
      <c r="C11" s="28" t="n">
        <f aca="false">C5-C10</f>
        <v>8.473928</v>
      </c>
      <c r="D11" s="26" t="s">
        <v>131</v>
      </c>
    </row>
    <row r="12" customFormat="false" ht="15" hidden="false" customHeight="true" outlineLevel="0" collapsed="false">
      <c r="A12" s="11" t="s">
        <v>132</v>
      </c>
      <c r="B12" s="29" t="n">
        <f aca="false">IF(B5=0,0,B11/B5)</f>
        <v>0.636679443859813</v>
      </c>
      <c r="C12" s="29" t="n">
        <f aca="false">IF(C5=0,0,C11/C5)</f>
        <v>0.804970836895602</v>
      </c>
      <c r="D12" s="26"/>
    </row>
    <row r="13" customFormat="false" ht="15" hidden="false" customHeight="true" outlineLevel="0" collapsed="false">
      <c r="A13" s="11" t="s">
        <v>133</v>
      </c>
      <c r="B13" s="25" t="n">
        <f aca="false">IF(Inputs!$B$40=0,0,B11/Inputs!$B$40)</f>
        <v>94.3554125333333</v>
      </c>
      <c r="C13" s="25" t="n">
        <f aca="false">IF(Inputs!$C$40=0,0,C11/Inputs!$C$40)</f>
        <v>169.47856</v>
      </c>
      <c r="D13" s="26" t="s">
        <v>134</v>
      </c>
    </row>
    <row r="14" customFormat="false" ht="15" hidden="false" customHeight="true" outlineLevel="0" collapsed="false">
      <c r="A14" s="9" t="s">
        <v>135</v>
      </c>
      <c r="B14" s="10"/>
      <c r="C14" s="10"/>
      <c r="D14" s="10"/>
    </row>
    <row r="15" customFormat="false" ht="15" hidden="false" customHeight="true" outlineLevel="0" collapsed="false">
      <c r="A15" s="11" t="s">
        <v>44</v>
      </c>
      <c r="B15" s="25" t="n">
        <f aca="false">Inputs!$B$21*(Inputs!$B$20*Inputs!$B$18+Inputs!$B$19)*Inputs!$B$11</f>
        <v>0.578</v>
      </c>
      <c r="C15" s="25" t="n">
        <f aca="false">Inputs!$C$21*(Inputs!$C$20*Inputs!$C$18+Inputs!$C$19)*Inputs!$C$11</f>
        <v>0</v>
      </c>
      <c r="D15" s="26" t="s">
        <v>136</v>
      </c>
    </row>
    <row r="16" customFormat="false" ht="15" hidden="false" customHeight="true" outlineLevel="0" collapsed="false">
      <c r="A16" s="11" t="s">
        <v>127</v>
      </c>
      <c r="B16" s="25" t="n">
        <f aca="false">Inputs!$B$31*((Inputs!$B$27*IF(Inputs!$B$30=1,Inputs!$B$26,Inputs!$B$24)+Inputs!$B$28*Inputs!$B$24+Inputs!$B$29*Inputs!$B$25)/1000000)*Inputs!$B$11</f>
        <v>0.1989</v>
      </c>
      <c r="C16" s="25" t="n">
        <f aca="false">Inputs!$C$31*((Inputs!$C$27*IF(Inputs!$C$30=1,Inputs!$C$26,Inputs!$C$24)+Inputs!$C$28*Inputs!$C$24+Inputs!$C$29*Inputs!$C$25)/1000000)*Inputs!$C$11</f>
        <v>0.15387516</v>
      </c>
      <c r="D16" s="26" t="s">
        <v>137</v>
      </c>
    </row>
    <row r="17" customFormat="false" ht="15" hidden="false" customHeight="true" outlineLevel="0" collapsed="false">
      <c r="A17" s="27" t="s">
        <v>138</v>
      </c>
      <c r="B17" s="28" t="n">
        <f aca="false">B15+B16</f>
        <v>0.7769</v>
      </c>
      <c r="C17" s="28" t="n">
        <f aca="false">C15+C16</f>
        <v>0.15387516</v>
      </c>
      <c r="D17" s="26"/>
    </row>
    <row r="18" customFormat="false" ht="15" hidden="false" customHeight="true" outlineLevel="0" collapsed="false">
      <c r="A18" s="9" t="s">
        <v>139</v>
      </c>
      <c r="B18" s="10"/>
      <c r="C18" s="10"/>
      <c r="D18" s="10"/>
    </row>
    <row r="19" customFormat="false" ht="15" hidden="false" customHeight="true" outlineLevel="0" collapsed="false">
      <c r="A19" s="11" t="s">
        <v>140</v>
      </c>
      <c r="B19" s="30" t="n">
        <f aca="false">IF(Inputs!$B$39=0,0,(1-Inputs!$B$39)*Inputs!$B$41/Inputs!$B$39)</f>
        <v>9.5</v>
      </c>
      <c r="C19" s="30" t="n">
        <f aca="false">IF(Inputs!$C$39=0,0,(1-Inputs!$C$39)*Inputs!$C$41/Inputs!$C$39)</f>
        <v>3.45</v>
      </c>
      <c r="D19" s="26" t="s">
        <v>141</v>
      </c>
    </row>
    <row r="20" customFormat="false" ht="15" hidden="false" customHeight="true" outlineLevel="0" collapsed="false">
      <c r="A20" s="27" t="s">
        <v>142</v>
      </c>
      <c r="B20" s="28" t="n">
        <f aca="false">B11-B19*B17</f>
        <v>-1.719225248</v>
      </c>
      <c r="C20" s="28" t="n">
        <f aca="false">C11-C19*C17</f>
        <v>7.943058698</v>
      </c>
      <c r="D20" s="26" t="s">
        <v>143</v>
      </c>
    </row>
    <row r="21" customFormat="false" ht="15" hidden="false" customHeight="true" outlineLevel="0" collapsed="false">
      <c r="A21" s="11" t="s">
        <v>144</v>
      </c>
      <c r="B21" s="31" t="n">
        <f aca="false">SUM(Inputs!$B$34:$B$37)</f>
        <v>400</v>
      </c>
      <c r="C21" s="31" t="n">
        <f aca="false">SUM(Inputs!$C$34:$C$37)</f>
        <v>400</v>
      </c>
      <c r="D21" s="26" t="s">
        <v>145</v>
      </c>
    </row>
    <row r="22" customFormat="false" ht="15" hidden="false" customHeight="true" outlineLevel="0" collapsed="false">
      <c r="A22" s="27" t="s">
        <v>146</v>
      </c>
      <c r="B22" s="32" t="str">
        <f aca="false">IF(B20&lt;=0,"never",ROUNDUP(B21/B20,0))</f>
        <v>never</v>
      </c>
      <c r="C22" s="32" t="n">
        <f aca="false">IF(C20&lt;=0,"never",ROUNDUP(C21/C20,0))</f>
        <v>51</v>
      </c>
      <c r="D22" s="26" t="s">
        <v>147</v>
      </c>
    </row>
    <row r="23" customFormat="false" ht="15" hidden="false" customHeight="true" outlineLevel="0" collapsed="false">
      <c r="A23" s="11" t="s">
        <v>148</v>
      </c>
      <c r="B23" s="33" t="str">
        <f aca="false">IF(ISNUMBER(B22),ROUNDUP(B22*(1+B19),0),"never")</f>
        <v>never</v>
      </c>
      <c r="C23" s="33" t="n">
        <f aca="false">IF(ISNUMBER(C22),ROUNDUP(C22*(1+C19),0),"never")</f>
        <v>227</v>
      </c>
      <c r="D23" s="26" t="s">
        <v>149</v>
      </c>
    </row>
    <row r="24" customFormat="false" ht="15" hidden="false" customHeight="true" outlineLevel="0" collapsed="false">
      <c r="A24" s="11" t="s">
        <v>150</v>
      </c>
      <c r="B24" s="33" t="str">
        <f aca="false">IF(ISNUMBER(B22),ROUNDUP(B22/Inputs!$B$39,0),"never")</f>
        <v>never</v>
      </c>
      <c r="C24" s="33" t="n">
        <f aca="false">IF(ISNUMBER(C22),ROUNDUP(C22/Inputs!$C$39,0),"never")</f>
        <v>638</v>
      </c>
      <c r="D24" s="26" t="s">
        <v>151</v>
      </c>
    </row>
    <row r="25" customFormat="false" ht="15" hidden="false" customHeight="true" outlineLevel="0" collapsed="false">
      <c r="A25" s="11" t="s">
        <v>152</v>
      </c>
      <c r="B25" s="33" t="str">
        <f aca="false">IF(B20&lt;=0,"never",ROUNDUP((B21+2000)/B20,0))</f>
        <v>never</v>
      </c>
      <c r="C25" s="33" t="n">
        <f aca="false">IF(C20&lt;=0,"never",ROUNDUP((C21+2000)/C20,0))</f>
        <v>303</v>
      </c>
      <c r="D25" s="26"/>
    </row>
    <row r="26" customFormat="false" ht="15" hidden="false" customHeight="true" outlineLevel="0" collapsed="false">
      <c r="A26" s="11" t="s">
        <v>153</v>
      </c>
      <c r="B26" s="33" t="str">
        <f aca="false">IF(B20&lt;=0,"never",ROUNDUP((B21+5000)/B20,0))</f>
        <v>never</v>
      </c>
      <c r="C26" s="33" t="n">
        <f aca="false">IF(C20&lt;=0,"never",ROUNDUP((C21+5000)/C20,0))</f>
        <v>680</v>
      </c>
      <c r="D26" s="26"/>
    </row>
    <row r="27" customFormat="false" ht="15" hidden="false" customHeight="true" outlineLevel="0" collapsed="false">
      <c r="A27" s="11" t="s">
        <v>154</v>
      </c>
      <c r="B27" s="33" t="str">
        <f aca="false">IF(ISNUMBER(B26),ROUNDUP(B26*Inputs!$B$40,0),"n/a")</f>
        <v>n/a</v>
      </c>
      <c r="C27" s="33" t="n">
        <f aca="false">IF(ISNUMBER(C26),ROUNDUP(C26*Inputs!$C$40,0),"n/a")</f>
        <v>34</v>
      </c>
      <c r="D27" s="26"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11" min="2" style="1" width="15"/>
  </cols>
  <sheetData>
    <row r="1" customFormat="false" ht="17.25" hidden="false" customHeight="true" outlineLevel="0" collapsed="false">
      <c r="A1" s="5" t="s">
        <v>156</v>
      </c>
      <c r="B1" s="6"/>
      <c r="C1" s="6"/>
      <c r="D1" s="6"/>
      <c r="E1" s="6"/>
      <c r="F1" s="6"/>
      <c r="G1" s="6"/>
      <c r="H1" s="6"/>
      <c r="I1" s="6"/>
    </row>
    <row r="2" customFormat="false" ht="15" hidden="false" customHeight="true" outlineLevel="0" collapsed="false">
      <c r="A2" s="7" t="s">
        <v>157</v>
      </c>
      <c r="B2" s="6"/>
      <c r="C2" s="6"/>
      <c r="D2" s="6"/>
      <c r="E2" s="6"/>
      <c r="F2" s="6"/>
      <c r="G2" s="6"/>
      <c r="H2" s="6"/>
      <c r="I2" s="6"/>
    </row>
    <row r="3" customFormat="false" ht="15" hidden="false" customHeight="true" outlineLevel="0" collapsed="false">
      <c r="A3" s="6"/>
      <c r="B3" s="6"/>
      <c r="C3" s="6"/>
      <c r="D3" s="6"/>
      <c r="E3" s="6"/>
      <c r="F3" s="6"/>
      <c r="G3" s="6"/>
      <c r="H3" s="6"/>
      <c r="I3" s="6"/>
    </row>
    <row r="4" customFormat="false" ht="15" hidden="false" customHeight="true" outlineLevel="0" collapsed="false">
      <c r="A4" s="9" t="s">
        <v>158</v>
      </c>
      <c r="B4" s="10"/>
      <c r="C4" s="10"/>
      <c r="D4" s="10"/>
      <c r="E4" s="10"/>
      <c r="F4" s="10"/>
      <c r="G4" s="10"/>
      <c r="H4" s="10"/>
      <c r="I4" s="10"/>
    </row>
    <row r="5" customFormat="false" ht="26.25" hidden="false" customHeight="true" outlineLevel="0" collapsed="false">
      <c r="A5" s="8" t="s">
        <v>159</v>
      </c>
      <c r="B5" s="8" t="s">
        <v>160</v>
      </c>
      <c r="C5" s="8" t="s">
        <v>161</v>
      </c>
      <c r="D5" s="8" t="s">
        <v>162</v>
      </c>
      <c r="E5" s="8" t="s">
        <v>163</v>
      </c>
      <c r="F5" s="8" t="s">
        <v>164</v>
      </c>
      <c r="G5" s="8" t="s">
        <v>165</v>
      </c>
      <c r="H5" s="8" t="s">
        <v>166</v>
      </c>
      <c r="I5" s="8" t="s">
        <v>167</v>
      </c>
    </row>
    <row r="6" customFormat="false" ht="15" hidden="false" customHeight="true" outlineLevel="0" collapsed="false">
      <c r="A6" s="19" t="n">
        <v>100</v>
      </c>
      <c r="B6" s="34" t="n">
        <f aca="false">ROUND(A6/(1+'Unit Economics'!$B$19),0)</f>
        <v>10</v>
      </c>
      <c r="C6" s="34" t="n">
        <f aca="false">A6-B6</f>
        <v>90</v>
      </c>
      <c r="D6" s="35" t="n">
        <f aca="false">B6*'Unit Economics'!$B$5</f>
        <v>88.9195466666667</v>
      </c>
      <c r="E6" s="35" t="n">
        <f aca="false">-B6*'Unit Economics'!$B$10</f>
        <v>-32.3062991466667</v>
      </c>
      <c r="F6" s="35" t="n">
        <f aca="false">-C6*'Unit Economics'!$B$17</f>
        <v>-69.921</v>
      </c>
      <c r="G6" s="35" t="n">
        <f aca="false">-'Unit Economics'!$B$21</f>
        <v>-400</v>
      </c>
      <c r="H6" s="36" t="n">
        <f aca="false">SUM(D6:G6)</f>
        <v>-413.30775248</v>
      </c>
      <c r="I6" s="37" t="n">
        <f aca="false">IF(D6=0,0,H6/D6)</f>
        <v>-4.64810908257742</v>
      </c>
    </row>
    <row r="7" customFormat="false" ht="15" hidden="false" customHeight="true" outlineLevel="0" collapsed="false">
      <c r="A7" s="19" t="n">
        <v>250</v>
      </c>
      <c r="B7" s="34" t="n">
        <f aca="false">ROUND(A7/(1+'Unit Economics'!$B$19),0)</f>
        <v>24</v>
      </c>
      <c r="C7" s="34" t="n">
        <f aca="false">A7-B7</f>
        <v>226</v>
      </c>
      <c r="D7" s="35" t="n">
        <f aca="false">B7*'Unit Economics'!$B$5</f>
        <v>213.406912</v>
      </c>
      <c r="E7" s="35" t="n">
        <f aca="false">-B7*'Unit Economics'!$B$10</f>
        <v>-77.535117952</v>
      </c>
      <c r="F7" s="35" t="n">
        <f aca="false">-C7*'Unit Economics'!$B$17</f>
        <v>-175.5794</v>
      </c>
      <c r="G7" s="35" t="n">
        <f aca="false">-'Unit Economics'!$B$21</f>
        <v>-400</v>
      </c>
      <c r="H7" s="36" t="n">
        <f aca="false">SUM(D7:G7)</f>
        <v>-439.707605952</v>
      </c>
      <c r="I7" s="37" t="n">
        <f aca="false">IF(D7=0,0,H7/D7)</f>
        <v>-2.06041876446814</v>
      </c>
    </row>
    <row r="8" customFormat="false" ht="15" hidden="false" customHeight="true" outlineLevel="0" collapsed="false">
      <c r="A8" s="19" t="n">
        <v>500</v>
      </c>
      <c r="B8" s="34" t="n">
        <f aca="false">ROUND(A8/(1+'Unit Economics'!$B$19),0)</f>
        <v>48</v>
      </c>
      <c r="C8" s="34" t="n">
        <f aca="false">A8-B8</f>
        <v>452</v>
      </c>
      <c r="D8" s="35" t="n">
        <f aca="false">B8*'Unit Economics'!$B$5</f>
        <v>426.813824</v>
      </c>
      <c r="E8" s="35" t="n">
        <f aca="false">-B8*'Unit Economics'!$B$10</f>
        <v>-155.070235904</v>
      </c>
      <c r="F8" s="35" t="n">
        <f aca="false">-C8*'Unit Economics'!$B$17</f>
        <v>-351.1588</v>
      </c>
      <c r="G8" s="35" t="n">
        <f aca="false">-'Unit Economics'!$B$21</f>
        <v>-400</v>
      </c>
      <c r="H8" s="36" t="n">
        <f aca="false">SUM(D8:G8)</f>
        <v>-479.415211904</v>
      </c>
      <c r="I8" s="37" t="n">
        <f aca="false">IF(D8=0,0,H8/D8)</f>
        <v>-1.12324199673533</v>
      </c>
    </row>
    <row r="9" customFormat="false" ht="15" hidden="false" customHeight="true" outlineLevel="0" collapsed="false">
      <c r="A9" s="19" t="n">
        <v>1000</v>
      </c>
      <c r="B9" s="34" t="n">
        <f aca="false">ROUND(A9/(1+'Unit Economics'!$B$19),0)</f>
        <v>95</v>
      </c>
      <c r="C9" s="34" t="n">
        <f aca="false">A9-B9</f>
        <v>905</v>
      </c>
      <c r="D9" s="35" t="n">
        <f aca="false">B9*'Unit Economics'!$B$5</f>
        <v>844.735693333333</v>
      </c>
      <c r="E9" s="35" t="n">
        <f aca="false">-B9*'Unit Economics'!$B$10</f>
        <v>-306.909841893333</v>
      </c>
      <c r="F9" s="35" t="n">
        <f aca="false">-C9*'Unit Economics'!$B$17</f>
        <v>-703.0945</v>
      </c>
      <c r="G9" s="35" t="n">
        <f aca="false">-'Unit Economics'!$B$21</f>
        <v>-400</v>
      </c>
      <c r="H9" s="36" t="n">
        <f aca="false">SUM(D9:G9)</f>
        <v>-565.26864856</v>
      </c>
      <c r="I9" s="37" t="n">
        <f aca="false">IF(D9=0,0,H9/D9)</f>
        <v>-0.669166288368195</v>
      </c>
    </row>
    <row r="10" customFormat="false" ht="15" hidden="false" customHeight="true" outlineLevel="0" collapsed="false">
      <c r="A10" s="19" t="n">
        <v>2500</v>
      </c>
      <c r="B10" s="34" t="n">
        <f aca="false">ROUND(A10/(1+'Unit Economics'!$B$19),0)</f>
        <v>238</v>
      </c>
      <c r="C10" s="34" t="n">
        <f aca="false">A10-B10</f>
        <v>2262</v>
      </c>
      <c r="D10" s="35" t="n">
        <f aca="false">B10*'Unit Economics'!$B$5</f>
        <v>2116.28521066667</v>
      </c>
      <c r="E10" s="35" t="n">
        <f aca="false">-B10*'Unit Economics'!$B$10</f>
        <v>-768.889919690667</v>
      </c>
      <c r="F10" s="35" t="n">
        <f aca="false">-C10*'Unit Economics'!$B$17</f>
        <v>-1757.3478</v>
      </c>
      <c r="G10" s="35" t="n">
        <f aca="false">-'Unit Economics'!$B$21</f>
        <v>-400</v>
      </c>
      <c r="H10" s="36" t="n">
        <f aca="false">SUM(D10:G10)</f>
        <v>-809.952509024</v>
      </c>
      <c r="I10" s="37" t="n">
        <f aca="false">IF(D10=0,0,H10/D10)</f>
        <v>-0.382723701390349</v>
      </c>
    </row>
    <row r="11" customFormat="false" ht="15" hidden="false" customHeight="true" outlineLevel="0" collapsed="false">
      <c r="A11" s="19" t="n">
        <v>5000</v>
      </c>
      <c r="B11" s="34" t="n">
        <f aca="false">ROUND(A11/(1+'Unit Economics'!$B$19),0)</f>
        <v>476</v>
      </c>
      <c r="C11" s="34" t="n">
        <f aca="false">A11-B11</f>
        <v>4524</v>
      </c>
      <c r="D11" s="35" t="n">
        <f aca="false">B11*'Unit Economics'!$B$5</f>
        <v>4232.57042133333</v>
      </c>
      <c r="E11" s="35" t="n">
        <f aca="false">-B11*'Unit Economics'!$B$10</f>
        <v>-1537.77983938133</v>
      </c>
      <c r="F11" s="35" t="n">
        <f aca="false">-C11*'Unit Economics'!$B$17</f>
        <v>-3514.6956</v>
      </c>
      <c r="G11" s="35" t="n">
        <f aca="false">-'Unit Economics'!$B$21</f>
        <v>-400</v>
      </c>
      <c r="H11" s="36" t="n">
        <f aca="false">SUM(D11:G11)</f>
        <v>-1219.905018048</v>
      </c>
      <c r="I11" s="37" t="n">
        <f aca="false">IF(D11=0,0,H11/D11)</f>
        <v>-0.288218481114771</v>
      </c>
    </row>
    <row r="12" customFormat="false" ht="15" hidden="false" customHeight="true" outlineLevel="0" collapsed="false">
      <c r="A12" s="19" t="n">
        <v>10000</v>
      </c>
      <c r="B12" s="34" t="n">
        <f aca="false">ROUND(A12/(1+'Unit Economics'!$B$19),0)</f>
        <v>952</v>
      </c>
      <c r="C12" s="34" t="n">
        <f aca="false">A12-B12</f>
        <v>9048</v>
      </c>
      <c r="D12" s="35" t="n">
        <f aca="false">B12*'Unit Economics'!$B$5</f>
        <v>8465.14084266667</v>
      </c>
      <c r="E12" s="35" t="n">
        <f aca="false">-B12*'Unit Economics'!$B$10</f>
        <v>-3075.55967876267</v>
      </c>
      <c r="F12" s="35" t="n">
        <f aca="false">-C12*'Unit Economics'!$B$17</f>
        <v>-7029.3912</v>
      </c>
      <c r="G12" s="35" t="n">
        <f aca="false">-'Unit Economics'!$B$21</f>
        <v>-400</v>
      </c>
      <c r="H12" s="36" t="n">
        <f aca="false">SUM(D12:G12)</f>
        <v>-2039.810036096</v>
      </c>
      <c r="I12" s="37" t="n">
        <f aca="false">IF(D12=0,0,H12/D12)</f>
        <v>-0.240965870976982</v>
      </c>
    </row>
    <row r="13" customFormat="false" ht="15" hidden="false" customHeight="true" outlineLevel="0" collapsed="false">
      <c r="A13" s="6"/>
      <c r="B13" s="6"/>
      <c r="C13" s="6"/>
      <c r="D13" s="6"/>
      <c r="E13" s="6"/>
      <c r="F13" s="6"/>
      <c r="G13" s="6"/>
      <c r="H13" s="6"/>
      <c r="I13" s="6"/>
    </row>
    <row r="14" customFormat="false" ht="15" hidden="false" customHeight="true" outlineLevel="0" collapsed="false">
      <c r="A14" s="6"/>
      <c r="B14" s="6"/>
      <c r="C14" s="6"/>
      <c r="D14" s="6"/>
      <c r="E14" s="6"/>
      <c r="F14" s="6"/>
      <c r="G14" s="6"/>
      <c r="H14" s="6"/>
      <c r="I14" s="6"/>
    </row>
    <row r="15" customFormat="false" ht="15" hidden="false" customHeight="true" outlineLevel="0" collapsed="false">
      <c r="A15" s="9" t="s">
        <v>168</v>
      </c>
      <c r="B15" s="10"/>
      <c r="C15" s="10"/>
      <c r="D15" s="10"/>
      <c r="E15" s="10"/>
      <c r="F15" s="10"/>
      <c r="G15" s="10"/>
      <c r="H15" s="10"/>
      <c r="I15" s="10"/>
    </row>
    <row r="16" customFormat="false" ht="26.25" hidden="false" customHeight="true" outlineLevel="0" collapsed="false">
      <c r="A16" s="8" t="s">
        <v>159</v>
      </c>
      <c r="B16" s="8" t="s">
        <v>160</v>
      </c>
      <c r="C16" s="8" t="s">
        <v>161</v>
      </c>
      <c r="D16" s="8" t="s">
        <v>162</v>
      </c>
      <c r="E16" s="8" t="s">
        <v>163</v>
      </c>
      <c r="F16" s="8" t="s">
        <v>164</v>
      </c>
      <c r="G16" s="8" t="s">
        <v>165</v>
      </c>
      <c r="H16" s="8" t="s">
        <v>166</v>
      </c>
      <c r="I16" s="8" t="s">
        <v>167</v>
      </c>
    </row>
    <row r="17" customFormat="false" ht="15" hidden="false" customHeight="true" outlineLevel="0" collapsed="false">
      <c r="A17" s="19" t="n">
        <v>100</v>
      </c>
      <c r="B17" s="34" t="n">
        <f aca="false">ROUND(A17/(1+'Unit Economics'!$C$19),0)</f>
        <v>22</v>
      </c>
      <c r="C17" s="34" t="n">
        <f aca="false">A17-B17</f>
        <v>78</v>
      </c>
      <c r="D17" s="35" t="n">
        <f aca="false">B17*'Unit Economics'!$C$5</f>
        <v>231.594</v>
      </c>
      <c r="E17" s="35" t="n">
        <f aca="false">-B17*'Unit Economics'!$C$10</f>
        <v>-45.167584</v>
      </c>
      <c r="F17" s="35" t="n">
        <f aca="false">-C17*'Unit Economics'!$C$17</f>
        <v>-12.00226248</v>
      </c>
      <c r="G17" s="35" t="n">
        <f aca="false">-'Unit Economics'!$C$21</f>
        <v>-400</v>
      </c>
      <c r="H17" s="36" t="n">
        <f aca="false">SUM(D17:G17)</f>
        <v>-225.57584648</v>
      </c>
      <c r="I17" s="37" t="n">
        <f aca="false">IF(D17=0,0,H17/D17)</f>
        <v>-0.974014207967391</v>
      </c>
    </row>
    <row r="18" customFormat="false" ht="15" hidden="false" customHeight="true" outlineLevel="0" collapsed="false">
      <c r="A18" s="19" t="n">
        <v>250</v>
      </c>
      <c r="B18" s="34" t="n">
        <f aca="false">ROUND(A18/(1+'Unit Economics'!$C$19),0)</f>
        <v>56</v>
      </c>
      <c r="C18" s="34" t="n">
        <f aca="false">A18-B18</f>
        <v>194</v>
      </c>
      <c r="D18" s="35" t="n">
        <f aca="false">B18*'Unit Economics'!$C$5</f>
        <v>589.512</v>
      </c>
      <c r="E18" s="35" t="n">
        <f aca="false">-B18*'Unit Economics'!$C$10</f>
        <v>-114.972032</v>
      </c>
      <c r="F18" s="35" t="n">
        <f aca="false">-C18*'Unit Economics'!$C$17</f>
        <v>-29.85178104</v>
      </c>
      <c r="G18" s="35" t="n">
        <f aca="false">-'Unit Economics'!$C$21</f>
        <v>-400</v>
      </c>
      <c r="H18" s="36" t="n">
        <f aca="false">SUM(D18:G18)</f>
        <v>44.6881869600001</v>
      </c>
      <c r="I18" s="37" t="n">
        <f aca="false">IF(D18=0,0,H18/D18)</f>
        <v>0.0758053898139479</v>
      </c>
    </row>
    <row r="19" customFormat="false" ht="15" hidden="false" customHeight="true" outlineLevel="0" collapsed="false">
      <c r="A19" s="19" t="n">
        <v>500</v>
      </c>
      <c r="B19" s="34" t="n">
        <f aca="false">ROUND(A19/(1+'Unit Economics'!$C$19),0)</f>
        <v>112</v>
      </c>
      <c r="C19" s="34" t="n">
        <f aca="false">A19-B19</f>
        <v>388</v>
      </c>
      <c r="D19" s="35" t="n">
        <f aca="false">B19*'Unit Economics'!$C$5</f>
        <v>1179.024</v>
      </c>
      <c r="E19" s="35" t="n">
        <f aca="false">-B19*'Unit Economics'!$C$10</f>
        <v>-229.944064</v>
      </c>
      <c r="F19" s="35" t="n">
        <f aca="false">-C19*'Unit Economics'!$C$17</f>
        <v>-59.70356208</v>
      </c>
      <c r="G19" s="35" t="n">
        <f aca="false">-'Unit Economics'!$C$21</f>
        <v>-400</v>
      </c>
      <c r="H19" s="36" t="n">
        <f aca="false">SUM(D19:G19)</f>
        <v>489.37637392</v>
      </c>
      <c r="I19" s="37" t="n">
        <f aca="false">IF(D19=0,0,H19/D19)</f>
        <v>0.415069051961623</v>
      </c>
    </row>
    <row r="20" customFormat="false" ht="15" hidden="false" customHeight="true" outlineLevel="0" collapsed="false">
      <c r="A20" s="19" t="n">
        <v>1000</v>
      </c>
      <c r="B20" s="34" t="n">
        <f aca="false">ROUND(A20/(1+'Unit Economics'!$C$19),0)</f>
        <v>225</v>
      </c>
      <c r="C20" s="34" t="n">
        <f aca="false">A20-B20</f>
        <v>775</v>
      </c>
      <c r="D20" s="35" t="n">
        <f aca="false">B20*'Unit Economics'!$C$5</f>
        <v>2368.575</v>
      </c>
      <c r="E20" s="35" t="n">
        <f aca="false">-B20*'Unit Economics'!$C$10</f>
        <v>-461.9412</v>
      </c>
      <c r="F20" s="35" t="n">
        <f aca="false">-C20*'Unit Economics'!$C$17</f>
        <v>-119.253249</v>
      </c>
      <c r="G20" s="35" t="n">
        <f aca="false">-'Unit Economics'!$C$21</f>
        <v>-400</v>
      </c>
      <c r="H20" s="36" t="n">
        <f aca="false">SUM(D20:G20)</f>
        <v>1387.380551</v>
      </c>
      <c r="I20" s="37" t="n">
        <f aca="false">IF(D20=0,0,H20/D20)</f>
        <v>0.585744825897428</v>
      </c>
    </row>
    <row r="21" customFormat="false" ht="15" hidden="false" customHeight="true" outlineLevel="0" collapsed="false">
      <c r="A21" s="19" t="n">
        <v>2500</v>
      </c>
      <c r="B21" s="34" t="n">
        <f aca="false">ROUND(A21/(1+'Unit Economics'!$C$19),0)</f>
        <v>562</v>
      </c>
      <c r="C21" s="34" t="n">
        <f aca="false">A21-B21</f>
        <v>1938</v>
      </c>
      <c r="D21" s="35" t="n">
        <f aca="false">B21*'Unit Economics'!$C$5</f>
        <v>5916.174</v>
      </c>
      <c r="E21" s="35" t="n">
        <f aca="false">-B21*'Unit Economics'!$C$10</f>
        <v>-1153.826464</v>
      </c>
      <c r="F21" s="35" t="n">
        <f aca="false">-C21*'Unit Economics'!$C$17</f>
        <v>-298.21006008</v>
      </c>
      <c r="G21" s="35" t="n">
        <f aca="false">-'Unit Economics'!$C$21</f>
        <v>-400</v>
      </c>
      <c r="H21" s="36" t="n">
        <f aca="false">SUM(D21:G21)</f>
        <v>4064.13747592</v>
      </c>
      <c r="I21" s="37" t="n">
        <f aca="false">IF(D21=0,0,H21/D21)</f>
        <v>0.686953675791145</v>
      </c>
    </row>
    <row r="22" customFormat="false" ht="15" hidden="false" customHeight="true" outlineLevel="0" collapsed="false">
      <c r="A22" s="19" t="n">
        <v>5000</v>
      </c>
      <c r="B22" s="34" t="n">
        <f aca="false">ROUND(A22/(1+'Unit Economics'!$C$19),0)</f>
        <v>1124</v>
      </c>
      <c r="C22" s="34" t="n">
        <f aca="false">A22-B22</f>
        <v>3876</v>
      </c>
      <c r="D22" s="35" t="n">
        <f aca="false">B22*'Unit Economics'!$C$5</f>
        <v>11832.348</v>
      </c>
      <c r="E22" s="35" t="n">
        <f aca="false">-B22*'Unit Economics'!$C$10</f>
        <v>-2307.652928</v>
      </c>
      <c r="F22" s="35" t="n">
        <f aca="false">-C22*'Unit Economics'!$C$17</f>
        <v>-596.42012016</v>
      </c>
      <c r="G22" s="35" t="n">
        <f aca="false">-'Unit Economics'!$C$21</f>
        <v>-400</v>
      </c>
      <c r="H22" s="36" t="n">
        <f aca="false">SUM(D22:G22)</f>
        <v>8528.27495184</v>
      </c>
      <c r="I22" s="37" t="n">
        <f aca="false">IF(D22=0,0,H22/D22)</f>
        <v>0.720759307606572</v>
      </c>
    </row>
    <row r="23" customFormat="false" ht="15" hidden="false" customHeight="true" outlineLevel="0" collapsed="false">
      <c r="A23" s="19" t="n">
        <v>10000</v>
      </c>
      <c r="B23" s="34" t="n">
        <f aca="false">ROUND(A23/(1+'Unit Economics'!$C$19),0)</f>
        <v>2247</v>
      </c>
      <c r="C23" s="34" t="n">
        <f aca="false">A23-B23</f>
        <v>7753</v>
      </c>
      <c r="D23" s="35" t="n">
        <f aca="false">B23*'Unit Economics'!$C$5</f>
        <v>23654.169</v>
      </c>
      <c r="E23" s="35" t="n">
        <f aca="false">-B23*'Unit Economics'!$C$10</f>
        <v>-4613.252784</v>
      </c>
      <c r="F23" s="35" t="n">
        <f aca="false">-C23*'Unit Economics'!$C$17</f>
        <v>-1192.99411548</v>
      </c>
      <c r="G23" s="35" t="n">
        <f aca="false">-'Unit Economics'!$C$21</f>
        <v>-400</v>
      </c>
      <c r="H23" s="36" t="n">
        <f aca="false">SUM(D23:G23)</f>
        <v>17447.92210052</v>
      </c>
      <c r="I23" s="37" t="n">
        <f aca="false">IF(D23=0,0,H23/D23)</f>
        <v>0.737625663388133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5" t="s">
        <v>169</v>
      </c>
      <c r="B1" s="6"/>
      <c r="C1" s="6"/>
      <c r="D1" s="6"/>
      <c r="E1" s="6"/>
      <c r="F1" s="6"/>
    </row>
    <row r="2" customFormat="false" ht="15" hidden="false" customHeight="true" outlineLevel="0" collapsed="false">
      <c r="A2" s="7" t="s">
        <v>170</v>
      </c>
      <c r="B2" s="6"/>
      <c r="C2" s="6"/>
      <c r="D2" s="6"/>
      <c r="E2" s="6"/>
      <c r="F2" s="6"/>
    </row>
    <row r="3" customFormat="false" ht="15" hidden="false" customHeight="true" outlineLevel="0" collapsed="false">
      <c r="A3" s="6"/>
      <c r="B3" s="6"/>
      <c r="C3" s="6"/>
      <c r="D3" s="6"/>
      <c r="E3" s="6"/>
      <c r="F3" s="6"/>
    </row>
    <row r="4" customFormat="false" ht="15" hidden="false" customHeight="true" outlineLevel="0" collapsed="false">
      <c r="A4" s="11" t="s">
        <v>171</v>
      </c>
      <c r="B4" s="38" t="n">
        <f aca="false">'Unit Economics'!$C$8+'Unit Economics'!$C$9</f>
        <v>1.4841</v>
      </c>
      <c r="C4" s="6"/>
      <c r="D4" s="6"/>
      <c r="E4" s="6"/>
      <c r="F4" s="6"/>
    </row>
    <row r="5" customFormat="false" ht="15" hidden="false" customHeight="true" outlineLevel="0" collapsed="false">
      <c r="A5" s="6" t="s">
        <v>172</v>
      </c>
      <c r="B5" s="38" t="n">
        <f aca="false">'Unit Economics'!$C$17</f>
        <v>0.15387516</v>
      </c>
      <c r="C5" s="6"/>
      <c r="D5" s="6"/>
      <c r="E5" s="6"/>
      <c r="F5" s="6"/>
    </row>
    <row r="6" customFormat="false" ht="15" hidden="false" customHeight="true" outlineLevel="0" collapsed="false">
      <c r="A6" s="6" t="s">
        <v>173</v>
      </c>
      <c r="B6" s="38" t="n">
        <f aca="false">'Unit Economics'!$C$21</f>
        <v>400</v>
      </c>
      <c r="C6" s="6"/>
      <c r="D6" s="6"/>
      <c r="E6" s="6"/>
      <c r="F6" s="6"/>
    </row>
    <row r="7" customFormat="false" ht="15" hidden="false" customHeight="true" outlineLevel="0" collapsed="false">
      <c r="A7" s="6" t="s">
        <v>174</v>
      </c>
      <c r="B7" s="39" t="n">
        <f aca="false">Inputs!$C$41</f>
        <v>0.3</v>
      </c>
      <c r="C7" s="6"/>
      <c r="D7" s="6"/>
      <c r="E7" s="6"/>
      <c r="F7" s="6"/>
    </row>
    <row r="8" customFormat="false" ht="15" hidden="false" customHeight="true" outlineLevel="0" collapsed="false">
      <c r="A8" s="6"/>
      <c r="B8" s="6"/>
      <c r="C8" s="6"/>
      <c r="D8" s="6"/>
      <c r="E8" s="6"/>
      <c r="F8" s="6"/>
    </row>
    <row r="9" customFormat="false" ht="26.25" hidden="false" customHeight="true" outlineLevel="0" collapsed="false">
      <c r="A9" s="8" t="s">
        <v>175</v>
      </c>
      <c r="B9" s="8" t="s">
        <v>176</v>
      </c>
      <c r="C9" s="8" t="s">
        <v>177</v>
      </c>
      <c r="D9" s="8" t="s">
        <v>167</v>
      </c>
      <c r="E9" s="6"/>
      <c r="F9" s="6"/>
    </row>
    <row r="10" customFormat="false" ht="15" hidden="false" customHeight="true" outlineLevel="0" collapsed="false">
      <c r="A10" s="12" t="n">
        <v>7.99</v>
      </c>
      <c r="B10" s="40" t="n">
        <f aca="false">A10*(Inputs!$C$13+Inputs!$C$15)+Inputs!$C$14</f>
        <v>0.58764</v>
      </c>
      <c r="C10" s="40" t="n">
        <f aca="false">A10-B10-$B$4</f>
        <v>5.91826</v>
      </c>
      <c r="D10" s="37" t="n">
        <f aca="false">IF(A10=0,0,C10/A10)</f>
        <v>0.740708385481852</v>
      </c>
      <c r="E10" s="6"/>
      <c r="F10" s="6"/>
    </row>
    <row r="11" customFormat="false" ht="15" hidden="false" customHeight="true" outlineLevel="0" collapsed="false">
      <c r="A11" s="12" t="n">
        <v>9.99</v>
      </c>
      <c r="B11" s="40" t="n">
        <f aca="false">A11*(Inputs!$C$13+Inputs!$C$15)+Inputs!$C$14</f>
        <v>0.65964</v>
      </c>
      <c r="C11" s="40" t="n">
        <f aca="false">A11-B11-$B$4</f>
        <v>7.84626</v>
      </c>
      <c r="D11" s="37" t="n">
        <f aca="false">IF(A11=0,0,C11/A11)</f>
        <v>0.785411411411412</v>
      </c>
      <c r="E11" s="6"/>
      <c r="F11" s="6"/>
    </row>
    <row r="12" customFormat="false" ht="15" hidden="false" customHeight="true" outlineLevel="0" collapsed="false">
      <c r="A12" s="12" t="n">
        <v>12.99</v>
      </c>
      <c r="B12" s="40" t="n">
        <f aca="false">A12*(Inputs!$C$13+Inputs!$C$15)+Inputs!$C$14</f>
        <v>0.76764</v>
      </c>
      <c r="C12" s="40" t="n">
        <f aca="false">A12-B12-$B$4</f>
        <v>10.73826</v>
      </c>
      <c r="D12" s="37" t="n">
        <f aca="false">IF(A12=0,0,C12/A12)</f>
        <v>0.826655889145497</v>
      </c>
      <c r="E12" s="6"/>
      <c r="F12" s="6"/>
    </row>
    <row r="13" customFormat="false" ht="15" hidden="false" customHeight="true" outlineLevel="0" collapsed="false">
      <c r="A13" s="12" t="n">
        <v>14.99</v>
      </c>
      <c r="B13" s="40" t="n">
        <f aca="false">A13*(Inputs!$C$13+Inputs!$C$15)+Inputs!$C$14</f>
        <v>0.83964</v>
      </c>
      <c r="C13" s="40" t="n">
        <f aca="false">A13-B13-$B$4</f>
        <v>12.66626</v>
      </c>
      <c r="D13" s="37" t="n">
        <f aca="false">IF(A13=0,0,C13/A13)</f>
        <v>0.844980653769179</v>
      </c>
      <c r="E13" s="6"/>
      <c r="F13" s="6"/>
    </row>
    <row r="14" customFormat="false" ht="15" hidden="false" customHeight="true" outlineLevel="0" collapsed="false">
      <c r="A14" s="12" t="n">
        <v>19.99</v>
      </c>
      <c r="B14" s="40" t="n">
        <f aca="false">A14*(Inputs!$C$13+Inputs!$C$15)+Inputs!$C$14</f>
        <v>1.01964</v>
      </c>
      <c r="C14" s="40" t="n">
        <f aca="false">A14-B14-$B$4</f>
        <v>17.48626</v>
      </c>
      <c r="D14" s="37" t="n">
        <f aca="false">IF(A14=0,0,C14/A14)</f>
        <v>0.874750375187594</v>
      </c>
      <c r="E14" s="6"/>
      <c r="F14" s="6"/>
    </row>
    <row r="15" customFormat="false" ht="15" hidden="false" customHeight="true" outlineLevel="0" collapsed="false">
      <c r="A15" s="6"/>
      <c r="B15" s="6"/>
      <c r="C15" s="6"/>
      <c r="D15" s="6"/>
      <c r="E15" s="6"/>
      <c r="F15" s="6"/>
    </row>
    <row r="16" customFormat="false" ht="15" hidden="false" customHeight="true" outlineLevel="0" collapsed="false">
      <c r="A16" s="6"/>
      <c r="B16" s="6"/>
      <c r="C16" s="6"/>
      <c r="D16" s="6"/>
      <c r="E16" s="6"/>
      <c r="F16" s="6"/>
    </row>
    <row r="17" customFormat="false" ht="15" hidden="false" customHeight="true" outlineLevel="0" collapsed="false">
      <c r="A17" s="27" t="s">
        <v>146</v>
      </c>
      <c r="B17" s="6"/>
      <c r="C17" s="6"/>
      <c r="D17" s="6"/>
      <c r="E17" s="6"/>
      <c r="F17" s="6"/>
    </row>
    <row r="18" customFormat="false" ht="15" hidden="false" customHeight="true" outlineLevel="0" collapsed="false">
      <c r="A18" s="8" t="s">
        <v>178</v>
      </c>
      <c r="B18" s="41" t="n">
        <v>0.02</v>
      </c>
      <c r="C18" s="41" t="n">
        <v>0.04</v>
      </c>
      <c r="D18" s="41" t="n">
        <v>0.06</v>
      </c>
      <c r="E18" s="41" t="n">
        <v>0.08</v>
      </c>
      <c r="F18" s="41" t="n">
        <v>0.12</v>
      </c>
    </row>
    <row r="19" customFormat="false" ht="15" hidden="false" customHeight="true" outlineLevel="0" collapsed="false">
      <c r="A19" s="40" t="n">
        <f aca="false">A10</f>
        <v>7.99</v>
      </c>
      <c r="B19" s="34" t="n">
        <f aca="false">IF(($C10-((1-B$18)*$B$7/B$18)*$B$5)&lt;=0,"never",ROUNDUP($B$6/($C10-((1-B$18)*$B$7/B$18)*$B$5),0))</f>
        <v>110</v>
      </c>
      <c r="C19" s="34" t="n">
        <f aca="false">IF(($C10-((1-C$18)*$B$7/C$18)*$B$5)&lt;=0,"never",ROUNDUP($B$6/($C10-((1-C$18)*$B$7/C$18)*$B$5),0))</f>
        <v>84</v>
      </c>
      <c r="D19" s="34" t="n">
        <f aca="false">IF(($C10-((1-D$18)*$B$7/D$18)*$B$5)&lt;=0,"never",ROUNDUP($B$6/($C10-((1-D$18)*$B$7/D$18)*$B$5),0))</f>
        <v>77</v>
      </c>
      <c r="E19" s="34" t="n">
        <f aca="false">IF(($C10-((1-E$18)*$B$7/E$18)*$B$5)&lt;=0,"never",ROUNDUP($B$6/($C10-((1-E$18)*$B$7/E$18)*$B$5),0))</f>
        <v>75</v>
      </c>
      <c r="F19" s="34" t="n">
        <f aca="false">IF(($C10-((1-F$18)*$B$7/F$18)*$B$5)&lt;=0,"never",ROUNDUP($B$6/($C10-((1-F$18)*$B$7/F$18)*$B$5),0))</f>
        <v>72</v>
      </c>
    </row>
    <row r="20" customFormat="false" ht="15" hidden="false" customHeight="true" outlineLevel="0" collapsed="false">
      <c r="A20" s="40" t="n">
        <f aca="false">A11</f>
        <v>9.99</v>
      </c>
      <c r="B20" s="34" t="n">
        <f aca="false">IF(($C11-((1-B$18)*$B$7/B$18)*$B$5)&lt;=0,"never",ROUNDUP($B$6/($C11-((1-B$18)*$B$7/B$18)*$B$5),0))</f>
        <v>72</v>
      </c>
      <c r="C20" s="34" t="n">
        <f aca="false">IF(($C11-((1-C$18)*$B$7/C$18)*$B$5)&lt;=0,"never",ROUNDUP($B$6/($C11-((1-C$18)*$B$7/C$18)*$B$5),0))</f>
        <v>60</v>
      </c>
      <c r="D20" s="34" t="n">
        <f aca="false">IF(($C11-((1-D$18)*$B$7/D$18)*$B$5)&lt;=0,"never",ROUNDUP($B$6/($C11-((1-D$18)*$B$7/D$18)*$B$5),0))</f>
        <v>57</v>
      </c>
      <c r="E20" s="34" t="n">
        <f aca="false">IF(($C11-((1-E$18)*$B$7/E$18)*$B$5)&lt;=0,"never",ROUNDUP($B$6/($C11-((1-E$18)*$B$7/E$18)*$B$5),0))</f>
        <v>55</v>
      </c>
      <c r="F20" s="34" t="n">
        <f aca="false">IF(($C11-((1-F$18)*$B$7/F$18)*$B$5)&lt;=0,"never",ROUNDUP($B$6/($C11-((1-F$18)*$B$7/F$18)*$B$5),0))</f>
        <v>54</v>
      </c>
    </row>
    <row r="21" customFormat="false" ht="15" hidden="false" customHeight="true" outlineLevel="0" collapsed="false">
      <c r="A21" s="40" t="n">
        <f aca="false">A12</f>
        <v>12.99</v>
      </c>
      <c r="B21" s="34" t="n">
        <f aca="false">IF(($C12-((1-B$18)*$B$7/B$18)*$B$5)&lt;=0,"never",ROUNDUP($B$6/($C12-((1-B$18)*$B$7/B$18)*$B$5),0))</f>
        <v>48</v>
      </c>
      <c r="C21" s="34" t="n">
        <f aca="false">IF(($C12-((1-C$18)*$B$7/C$18)*$B$5)&lt;=0,"never",ROUNDUP($B$6/($C12-((1-C$18)*$B$7/C$18)*$B$5),0))</f>
        <v>42</v>
      </c>
      <c r="D21" s="34" t="n">
        <f aca="false">IF(($C12-((1-D$18)*$B$7/D$18)*$B$5)&lt;=0,"never",ROUNDUP($B$6/($C12-((1-D$18)*$B$7/D$18)*$B$5),0))</f>
        <v>40</v>
      </c>
      <c r="E21" s="34" t="n">
        <f aca="false">IF(($C12-((1-E$18)*$B$7/E$18)*$B$5)&lt;=0,"never",ROUNDUP($B$6/($C12-((1-E$18)*$B$7/E$18)*$B$5),0))</f>
        <v>40</v>
      </c>
      <c r="F21" s="34" t="n">
        <f aca="false">IF(($C12-((1-F$18)*$B$7/F$18)*$B$5)&lt;=0,"never",ROUNDUP($B$6/($C12-((1-F$18)*$B$7/F$18)*$B$5),0))</f>
        <v>39</v>
      </c>
    </row>
    <row r="22" customFormat="false" ht="15" hidden="false" customHeight="true" outlineLevel="0" collapsed="false">
      <c r="A22" s="40" t="n">
        <f aca="false">A13</f>
        <v>14.99</v>
      </c>
      <c r="B22" s="34" t="n">
        <f aca="false">IF(($C13-((1-B$18)*$B$7/B$18)*$B$5)&lt;=0,"never",ROUNDUP($B$6/($C13-((1-B$18)*$B$7/B$18)*$B$5),0))</f>
        <v>39</v>
      </c>
      <c r="C22" s="34" t="n">
        <f aca="false">IF(($C13-((1-C$18)*$B$7/C$18)*$B$5)&lt;=0,"never",ROUNDUP($B$6/($C13-((1-C$18)*$B$7/C$18)*$B$5),0))</f>
        <v>35</v>
      </c>
      <c r="D22" s="34" t="n">
        <f aca="false">IF(($C13-((1-D$18)*$B$7/D$18)*$B$5)&lt;=0,"never",ROUNDUP($B$6/($C13-((1-D$18)*$B$7/D$18)*$B$5),0))</f>
        <v>34</v>
      </c>
      <c r="E22" s="34" t="n">
        <f aca="false">IF(($C13-((1-E$18)*$B$7/E$18)*$B$5)&lt;=0,"never",ROUNDUP($B$6/($C13-((1-E$18)*$B$7/E$18)*$B$5),0))</f>
        <v>33</v>
      </c>
      <c r="F22" s="34" t="n">
        <f aca="false">IF(($C13-((1-F$18)*$B$7/F$18)*$B$5)&lt;=0,"never",ROUNDUP($B$6/($C13-((1-F$18)*$B$7/F$18)*$B$5),0))</f>
        <v>33</v>
      </c>
    </row>
    <row r="23" customFormat="false" ht="15" hidden="false" customHeight="true" outlineLevel="0" collapsed="false">
      <c r="A23" s="40" t="n">
        <f aca="false">A14</f>
        <v>19.99</v>
      </c>
      <c r="B23" s="34" t="n">
        <f aca="false">IF(($C14-((1-B$18)*$B$7/B$18)*$B$5)&lt;=0,"never",ROUNDUP($B$6/($C14-((1-B$18)*$B$7/B$18)*$B$5),0))</f>
        <v>27</v>
      </c>
      <c r="C23" s="34" t="n">
        <f aca="false">IF(($C14-((1-C$18)*$B$7/C$18)*$B$5)&lt;=0,"never",ROUNDUP($B$6/($C14-((1-C$18)*$B$7/C$18)*$B$5),0))</f>
        <v>25</v>
      </c>
      <c r="D23" s="34" t="n">
        <f aca="false">IF(($C14-((1-D$18)*$B$7/D$18)*$B$5)&lt;=0,"never",ROUNDUP($B$6/($C14-((1-D$18)*$B$7/D$18)*$B$5),0))</f>
        <v>24</v>
      </c>
      <c r="E23" s="34" t="n">
        <f aca="false">IF(($C14-((1-E$18)*$B$7/E$18)*$B$5)&lt;=0,"never",ROUNDUP($B$6/($C14-((1-E$18)*$B$7/E$18)*$B$5),0))</f>
        <v>24</v>
      </c>
      <c r="F23" s="34" t="n">
        <f aca="false">IF(($C14-((1-F$18)*$B$7/F$18)*$B$5)&lt;=0,"never",ROUNDUP($B$6/($C14-((1-F$18)*$B$7/F$18)*$B$5),0))</f>
        <v>24</v>
      </c>
    </row>
    <row r="24" customFormat="false" ht="15" hidden="false" customHeight="true" outlineLevel="0" collapsed="false">
      <c r="A24" s="6"/>
      <c r="B24" s="6"/>
      <c r="C24" s="6"/>
      <c r="D24" s="6"/>
      <c r="E24" s="6"/>
      <c r="F24" s="6"/>
    </row>
    <row r="25" customFormat="false" ht="15" hidden="false" customHeight="true" outlineLevel="0" collapsed="false">
      <c r="A25" s="6"/>
      <c r="B25" s="6"/>
      <c r="C25" s="6"/>
      <c r="D25" s="6"/>
      <c r="E25" s="6"/>
      <c r="F25" s="6"/>
    </row>
    <row r="26" customFormat="false" ht="15" hidden="false" customHeight="true" outlineLevel="0" collapsed="false">
      <c r="A26" s="27" t="s">
        <v>179</v>
      </c>
      <c r="B26" s="6"/>
      <c r="C26" s="6"/>
      <c r="D26" s="6"/>
      <c r="E26" s="6"/>
      <c r="F26" s="6"/>
    </row>
    <row r="27" customFormat="false" ht="15" hidden="false" customHeight="true" outlineLevel="0" collapsed="false">
      <c r="A27" s="8" t="s">
        <v>178</v>
      </c>
      <c r="B27" s="41" t="n">
        <f aca="false">B18</f>
        <v>0.02</v>
      </c>
      <c r="C27" s="41" t="n">
        <f aca="false">C18</f>
        <v>0.04</v>
      </c>
      <c r="D27" s="41" t="n">
        <f aca="false">D18</f>
        <v>0.06</v>
      </c>
      <c r="E27" s="41" t="n">
        <f aca="false">E18</f>
        <v>0.08</v>
      </c>
      <c r="F27" s="41" t="n">
        <f aca="false">F18</f>
        <v>0.12</v>
      </c>
    </row>
    <row r="28" customFormat="false" ht="15" hidden="false" customHeight="true" outlineLevel="0" collapsed="false">
      <c r="A28" s="40" t="n">
        <f aca="false">A10</f>
        <v>7.99</v>
      </c>
      <c r="B28" s="34" t="n">
        <f aca="false">IF(($C10-((1-B$27)*$B$7/B$27)*$B$5)&lt;=0,"never",ROUNDUP(($B$6+3000)/($C10-((1-B$27)*$B$7/B$27)*$B$5)/B$27,0))</f>
        <v>46496</v>
      </c>
      <c r="C28" s="34" t="n">
        <f aca="false">IF(($C10-((1-C$27)*$B$7/C$27)*$B$5)&lt;=0,"never",ROUNDUP(($B$6+3000)/($C10-((1-C$27)*$B$7/C$27)*$B$5)/C$27,0))</f>
        <v>17671</v>
      </c>
      <c r="D28" s="34" t="n">
        <f aca="false">IF(($C10-((1-D$27)*$B$7/D$27)*$B$5)&lt;=0,"never",ROUNDUP(($B$6+3000)/($C10-((1-D$27)*$B$7/D$27)*$B$5)/D$27,0))</f>
        <v>10908</v>
      </c>
      <c r="E28" s="34" t="n">
        <f aca="false">IF(($C10-((1-E$27)*$B$7/E$27)*$B$5)&lt;=0,"never",ROUNDUP(($B$6+3000)/($C10-((1-E$27)*$B$7/E$27)*$B$5)/E$27,0))</f>
        <v>7889</v>
      </c>
      <c r="F28" s="34" t="n">
        <f aca="false">IF(($C10-((1-F$27)*$B$7/F$27)*$B$5)&lt;=0,"never",ROUNDUP(($B$6+3000)/($C10-((1-F$27)*$B$7/F$27)*$B$5)/F$27,0))</f>
        <v>5078</v>
      </c>
    </row>
    <row r="29" customFormat="false" ht="15" hidden="false" customHeight="true" outlineLevel="0" collapsed="false">
      <c r="A29" s="40" t="n">
        <f aca="false">A11</f>
        <v>9.99</v>
      </c>
      <c r="B29" s="34" t="n">
        <f aca="false">IF(($C11-((1-B$27)*$B$7/B$27)*$B$5)&lt;=0,"never",ROUNDUP(($B$6+3000)/($C11-((1-B$27)*$B$7/B$27)*$B$5)/B$27,0))</f>
        <v>30443</v>
      </c>
      <c r="C29" s="34" t="n">
        <f aca="false">IF(($C11-((1-C$27)*$B$7/C$27)*$B$5)&lt;=0,"never",ROUNDUP(($B$6+3000)/($C11-((1-C$27)*$B$7/C$27)*$B$5)/C$27,0))</f>
        <v>12615</v>
      </c>
      <c r="D29" s="34" t="n">
        <f aca="false">IF(($C11-((1-D$27)*$B$7/D$27)*$B$5)&lt;=0,"never",ROUNDUP(($B$6+3000)/($C11-((1-D$27)*$B$7/D$27)*$B$5)/D$27,0))</f>
        <v>7956</v>
      </c>
      <c r="E29" s="34" t="n">
        <f aca="false">IF(($C11-((1-E$27)*$B$7/E$27)*$B$5)&lt;=0,"never",ROUNDUP(($B$6+3000)/($C11-((1-E$27)*$B$7/E$27)*$B$5)/E$27,0))</f>
        <v>5810</v>
      </c>
      <c r="F29" s="34" t="n">
        <f aca="false">IF(($C11-((1-F$27)*$B$7/F$27)*$B$5)&lt;=0,"never",ROUNDUP(($B$6+3000)/($C11-((1-F$27)*$B$7/F$27)*$B$5)/F$27,0))</f>
        <v>3774</v>
      </c>
    </row>
    <row r="30" customFormat="false" ht="15" hidden="false" customHeight="true" outlineLevel="0" collapsed="false">
      <c r="A30" s="40" t="n">
        <f aca="false">A12</f>
        <v>12.99</v>
      </c>
      <c r="B30" s="34" t="n">
        <f aca="false">IF(($C12-((1-B$27)*$B$7/B$27)*$B$5)&lt;=0,"never",ROUNDUP(($B$6+3000)/($C12-((1-B$27)*$B$7/B$27)*$B$5)/B$27,0))</f>
        <v>20056</v>
      </c>
      <c r="C30" s="34" t="n">
        <f aca="false">IF(($C12-((1-C$27)*$B$7/C$27)*$B$5)&lt;=0,"never",ROUNDUP(($B$6+3000)/($C12-((1-C$27)*$B$7/C$27)*$B$5)/C$27,0))</f>
        <v>8827</v>
      </c>
      <c r="D30" s="34" t="n">
        <f aca="false">IF(($C12-((1-D$27)*$B$7/D$27)*$B$5)&lt;=0,"never",ROUNDUP(($B$6+3000)/($C12-((1-D$27)*$B$7/D$27)*$B$5)/D$27,0))</f>
        <v>5659</v>
      </c>
      <c r="E30" s="34" t="n">
        <f aca="false">IF(($C12-((1-E$27)*$B$7/E$27)*$B$5)&lt;=0,"never",ROUNDUP(($B$6+3000)/($C12-((1-E$27)*$B$7/E$27)*$B$5)/E$27,0))</f>
        <v>4164</v>
      </c>
      <c r="F30" s="34" t="n">
        <f aca="false">IF(($C12-((1-F$27)*$B$7/F$27)*$B$5)&lt;=0,"never",ROUNDUP(($B$6+3000)/($C12-((1-F$27)*$B$7/F$27)*$B$5)/F$27,0))</f>
        <v>2725</v>
      </c>
    </row>
    <row r="31" customFormat="false" ht="15" hidden="false" customHeight="true" outlineLevel="0" collapsed="false">
      <c r="A31" s="40" t="n">
        <f aca="false">A13</f>
        <v>14.99</v>
      </c>
      <c r="B31" s="34" t="n">
        <f aca="false">IF(($C13-((1-B$27)*$B$7/B$27)*$B$5)&lt;=0,"never",ROUNDUP(($B$6+3000)/($C13-((1-B$27)*$B$7/B$27)*$B$5)/B$27,0))</f>
        <v>16340</v>
      </c>
      <c r="C31" s="34" t="n">
        <f aca="false">IF(($C13-((1-C$27)*$B$7/C$27)*$B$5)&lt;=0,"never",ROUNDUP(($B$6+3000)/($C13-((1-C$27)*$B$7/C$27)*$B$5)/C$27,0))</f>
        <v>7354</v>
      </c>
      <c r="D31" s="34" t="n">
        <f aca="false">IF(($C13-((1-D$27)*$B$7/D$27)*$B$5)&lt;=0,"never",ROUNDUP(($B$6+3000)/($C13-((1-D$27)*$B$7/D$27)*$B$5)/D$27,0))</f>
        <v>4745</v>
      </c>
      <c r="E31" s="34" t="n">
        <f aca="false">IF(($C13-((1-E$27)*$B$7/E$27)*$B$5)&lt;=0,"never",ROUNDUP(($B$6+3000)/($C13-((1-E$27)*$B$7/E$27)*$B$5)/E$27,0))</f>
        <v>3503</v>
      </c>
      <c r="F31" s="34" t="n">
        <f aca="false">IF(($C13-((1-F$27)*$B$7/F$27)*$B$5)&lt;=0,"never",ROUNDUP(($B$6+3000)/($C13-((1-F$27)*$B$7/F$27)*$B$5)/F$27,0))</f>
        <v>2299</v>
      </c>
    </row>
    <row r="32" customFormat="false" ht="15" hidden="false" customHeight="true" outlineLevel="0" collapsed="false">
      <c r="A32" s="40" t="n">
        <f aca="false">A14</f>
        <v>19.99</v>
      </c>
      <c r="B32" s="34" t="n">
        <f aca="false">IF(($C14-((1-B$27)*$B$7/B$27)*$B$5)&lt;=0,"never",ROUNDUP(($B$6+3000)/($C14-((1-B$27)*$B$7/B$27)*$B$5)/B$27,0))</f>
        <v>11167</v>
      </c>
      <c r="C32" s="34" t="n">
        <f aca="false">IF(($C14-((1-C$27)*$B$7/C$27)*$B$5)&lt;=0,"never",ROUNDUP(($B$6+3000)/($C14-((1-C$27)*$B$7/C$27)*$B$5)/C$27,0))</f>
        <v>5190</v>
      </c>
      <c r="D32" s="34" t="n">
        <f aca="false">IF(($C14-((1-D$27)*$B$7/D$27)*$B$5)&lt;=0,"never",ROUNDUP(($B$6+3000)/($C14-((1-D$27)*$B$7/D$27)*$B$5)/D$27,0))</f>
        <v>3381</v>
      </c>
      <c r="E32" s="34" t="n">
        <f aca="false">IF(($C14-((1-E$27)*$B$7/E$27)*$B$5)&lt;=0,"never",ROUNDUP(($B$6+3000)/($C14-((1-E$27)*$B$7/E$27)*$B$5)/E$27,0))</f>
        <v>2507</v>
      </c>
      <c r="F32" s="34" t="n">
        <f aca="false">IF(($C14-((1-F$27)*$B$7/F$27)*$B$5)&lt;=0,"never",ROUNDUP(($B$6+3000)/($C14-((1-F$27)*$B$7/F$27)*$B$5)/F$27,0))</f>
        <v>1653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46"/>
    <col collapsed="false" customWidth="true" hidden="false" outlineLevel="0" max="3" min="3" style="1" width="20"/>
    <col collapsed="false" customWidth="true" hidden="false" outlineLevel="0" max="4" min="4" style="1" width="30"/>
    <col collapsed="false" customWidth="true" hidden="false" outlineLevel="0" max="5" min="5" style="1" width="22"/>
    <col collapsed="false" customWidth="true" hidden="false" outlineLevel="0" max="7" min="6" style="1" width="26"/>
  </cols>
  <sheetData>
    <row r="1" customFormat="false" ht="15" hidden="false" customHeight="true" outlineLevel="0" collapsed="false">
      <c r="A1" s="42" t="s">
        <v>180</v>
      </c>
    </row>
    <row r="3" customFormat="false" ht="15" hidden="false" customHeight="true" outlineLevel="0" collapsed="false">
      <c r="A3" s="22" t="s">
        <v>181</v>
      </c>
    </row>
    <row r="4" customFormat="false" ht="15" hidden="false" customHeight="true" outlineLevel="0" collapsed="false">
      <c r="A4" s="1" t="s">
        <v>182</v>
      </c>
      <c r="B4" s="43" t="n">
        <f aca="false">Inputs!B46*Inputs!B47*Inputs!B53</f>
        <v>48.75</v>
      </c>
    </row>
    <row r="5" customFormat="false" ht="15" hidden="false" customHeight="true" outlineLevel="0" collapsed="false">
      <c r="A5" s="1" t="s">
        <v>183</v>
      </c>
      <c r="B5" s="43" t="n">
        <f aca="false">Inputs!B54*Inputs!B55*Inputs!B49</f>
        <v>5.2</v>
      </c>
    </row>
    <row r="6" customFormat="false" ht="15" hidden="false" customHeight="true" outlineLevel="0" collapsed="false">
      <c r="A6" s="1" t="s">
        <v>184</v>
      </c>
      <c r="B6" s="44" t="n">
        <f aca="false">B4+B5</f>
        <v>53.95</v>
      </c>
    </row>
    <row r="7" customFormat="false" ht="15" hidden="false" customHeight="true" outlineLevel="0" collapsed="false">
      <c r="A7" s="1" t="s">
        <v>185</v>
      </c>
      <c r="B7" s="45" t="n">
        <f aca="false">B4*Inputs!B44+B5*Inputs!C5*2</f>
        <v>4024.2085</v>
      </c>
    </row>
    <row r="8" customFormat="false" ht="15" hidden="false" customHeight="true" outlineLevel="0" collapsed="false">
      <c r="A8" s="1" t="s">
        <v>186</v>
      </c>
      <c r="B8" s="45" t="n">
        <f aca="false">B4*Inputs!B44/12+B5*Inputs!C5</f>
        <v>387.307375</v>
      </c>
    </row>
    <row r="9" customFormat="false" ht="15" hidden="false" customHeight="true" outlineLevel="0" collapsed="false">
      <c r="A9" s="1" t="s">
        <v>187</v>
      </c>
      <c r="B9" s="46" t="n">
        <f aca="false">Inputs!B46*Inputs!B47+Inputs!B54</f>
        <v>227.5</v>
      </c>
    </row>
    <row r="10" customFormat="false" ht="15" hidden="false" customHeight="true" outlineLevel="0" collapsed="false">
      <c r="A10" s="22" t="s">
        <v>188</v>
      </c>
    </row>
    <row r="11" customFormat="false" ht="15" hidden="false" customHeight="true" outlineLevel="0" collapsed="false">
      <c r="A11" s="1" t="s">
        <v>189</v>
      </c>
    </row>
    <row r="13" customFormat="false" ht="15" hidden="false" customHeight="true" outlineLevel="0" collapsed="false">
      <c r="A13" s="47" t="s">
        <v>190</v>
      </c>
      <c r="B13" s="47" t="s">
        <v>191</v>
      </c>
      <c r="C13" s="47" t="s">
        <v>192</v>
      </c>
      <c r="D13" s="47" t="s">
        <v>193</v>
      </c>
      <c r="E13" s="47" t="s">
        <v>194</v>
      </c>
      <c r="F13" s="47" t="s">
        <v>195</v>
      </c>
      <c r="G13" s="47" t="s">
        <v>196</v>
      </c>
    </row>
    <row r="14" customFormat="false" ht="15" hidden="false" customHeight="true" outlineLevel="0" collapsed="false">
      <c r="A14" s="1" t="n">
        <v>1</v>
      </c>
      <c r="B14" s="1" t="s">
        <v>197</v>
      </c>
      <c r="C14" s="48" t="n">
        <v>2300</v>
      </c>
      <c r="D14" s="45" t="n">
        <f aca="false">0</f>
        <v>0</v>
      </c>
      <c r="E14" s="45" t="n">
        <f aca="false">(Inputs!$B$52+D14+2*C14)/Inputs!$B$51</f>
        <v>7142.85714285714</v>
      </c>
      <c r="F14" s="45" t="n">
        <f aca="false">CEILING(MAX(E14,0),500)</f>
        <v>7500</v>
      </c>
      <c r="G14" s="1" t="n">
        <f aca="false">ROUND(F14/Inputs!$B$50,0)</f>
        <v>789</v>
      </c>
    </row>
    <row r="15" customFormat="false" ht="15" hidden="false" customHeight="true" outlineLevel="0" collapsed="false">
      <c r="A15" s="1" t="n">
        <v>2</v>
      </c>
      <c r="B15" s="1" t="s">
        <v>198</v>
      </c>
      <c r="C15" s="48" t="n">
        <v>800</v>
      </c>
      <c r="D15" s="45" t="n">
        <f aca="false">D14+C14</f>
        <v>2300</v>
      </c>
      <c r="E15" s="45" t="n">
        <f aca="false">(Inputs!$B$52+D15+2*C15)/Inputs!$B$51</f>
        <v>6142.85714285714</v>
      </c>
      <c r="F15" s="45" t="n">
        <f aca="false">CEILING(MAX(E15,F14*1.05),500)</f>
        <v>8000</v>
      </c>
      <c r="G15" s="1" t="n">
        <f aca="false">ROUND(F15/Inputs!$B$50,0)</f>
        <v>842</v>
      </c>
    </row>
    <row r="16" customFormat="false" ht="15" hidden="false" customHeight="true" outlineLevel="0" collapsed="false">
      <c r="A16" s="1" t="n">
        <v>3</v>
      </c>
      <c r="B16" s="1" t="s">
        <v>199</v>
      </c>
      <c r="C16" s="48" t="n">
        <v>6000</v>
      </c>
      <c r="D16" s="45" t="n">
        <f aca="false">D15+C15</f>
        <v>3100</v>
      </c>
      <c r="E16" s="45" t="n">
        <f aca="false">(Inputs!$B$52+D16+2*C16)/Inputs!$B$51</f>
        <v>22142.8571428571</v>
      </c>
      <c r="F16" s="45" t="n">
        <f aca="false">CEILING(MAX(E16,F15*1.05),500)</f>
        <v>22500</v>
      </c>
      <c r="G16" s="1" t="n">
        <f aca="false">ROUND(F16/Inputs!$B$50,0)</f>
        <v>2368</v>
      </c>
    </row>
    <row r="17" customFormat="false" ht="15" hidden="false" customHeight="true" outlineLevel="0" collapsed="false">
      <c r="A17" s="1" t="n">
        <v>4</v>
      </c>
      <c r="B17" s="1" t="s">
        <v>200</v>
      </c>
      <c r="C17" s="48" t="n">
        <v>12000</v>
      </c>
      <c r="D17" s="45" t="n">
        <f aca="false">D16+C16</f>
        <v>9100</v>
      </c>
      <c r="E17" s="45" t="n">
        <f aca="false">(Inputs!$B$52+D17+2*C17)/Inputs!$B$51</f>
        <v>47857.1428571429</v>
      </c>
      <c r="F17" s="45" t="n">
        <f aca="false">CEILING(MAX(E17,F16*1.05),500)</f>
        <v>48000</v>
      </c>
      <c r="G17" s="1" t="n">
        <f aca="false">ROUND(F17/Inputs!$B$50,0)</f>
        <v>5053</v>
      </c>
    </row>
    <row r="18" customFormat="false" ht="15" hidden="false" customHeight="true" outlineLevel="0" collapsed="false">
      <c r="A18" s="1" t="n">
        <v>5</v>
      </c>
      <c r="B18" s="1" t="s">
        <v>201</v>
      </c>
      <c r="C18" s="48" t="n">
        <v>18000</v>
      </c>
      <c r="D18" s="45" t="n">
        <f aca="false">D17+C17</f>
        <v>21100</v>
      </c>
      <c r="E18" s="45" t="n">
        <f aca="false">(Inputs!$B$52+D18+2*C18)/Inputs!$B$51</f>
        <v>82142.8571428571</v>
      </c>
      <c r="F18" s="45" t="n">
        <f aca="false">CEILING(MAX(E18,F17*1.05),500)</f>
        <v>82500</v>
      </c>
      <c r="G18" s="1" t="n">
        <f aca="false">ROUND(F18/Inputs!$B$50,0)</f>
        <v>8684</v>
      </c>
    </row>
    <row r="19" customFormat="false" ht="15" hidden="false" customHeight="true" outlineLevel="0" collapsed="false">
      <c r="A19" s="1" t="n">
        <v>6</v>
      </c>
      <c r="B19" s="1" t="s">
        <v>202</v>
      </c>
      <c r="C19" s="48" t="n">
        <v>8500</v>
      </c>
      <c r="D19" s="45" t="n">
        <f aca="false">D18+C18</f>
        <v>39100</v>
      </c>
      <c r="E19" s="45" t="n">
        <f aca="false">(Inputs!$B$52+D19+2*C19)/Inputs!$B$51</f>
        <v>80714.2857142857</v>
      </c>
      <c r="F19" s="45" t="n">
        <f aca="false">CEILING(MAX(E19,F18*1.05),500)</f>
        <v>87000</v>
      </c>
      <c r="G19" s="1" t="n">
        <f aca="false">ROUND(F19/Inputs!$B$50,0)</f>
        <v>9158</v>
      </c>
    </row>
    <row r="20" customFormat="false" ht="15" hidden="false" customHeight="true" outlineLevel="0" collapsed="false">
      <c r="A20" s="1" t="n">
        <v>7</v>
      </c>
      <c r="B20" s="1" t="s">
        <v>203</v>
      </c>
      <c r="C20" s="48" t="n">
        <v>8500</v>
      </c>
      <c r="D20" s="45" t="n">
        <f aca="false">D19+C19</f>
        <v>47600</v>
      </c>
      <c r="E20" s="45" t="n">
        <f aca="false">(Inputs!$B$52+D20+2*C20)/Inputs!$B$51</f>
        <v>92857.1428571429</v>
      </c>
      <c r="F20" s="45" t="n">
        <f aca="false">CEILING(MAX(E20,F19*1.05),500)</f>
        <v>93000</v>
      </c>
      <c r="G20" s="1" t="n">
        <f aca="false">ROUND(F20/Inputs!$B$50,0)</f>
        <v>9789</v>
      </c>
    </row>
    <row r="21" customFormat="false" ht="15" hidden="false" customHeight="true" outlineLevel="0" collapsed="false">
      <c r="A21" s="1" t="n">
        <v>8</v>
      </c>
      <c r="B21" s="1" t="s">
        <v>204</v>
      </c>
      <c r="C21" s="48" t="n">
        <v>8500</v>
      </c>
      <c r="D21" s="45" t="n">
        <f aca="false">D20+C20</f>
        <v>56100</v>
      </c>
      <c r="E21" s="45" t="n">
        <f aca="false">(Inputs!$B$52+D21+2*C21)/Inputs!$B$51</f>
        <v>105000</v>
      </c>
      <c r="F21" s="45" t="n">
        <f aca="false">CEILING(MAX(E21,F20*1.05),500)</f>
        <v>105000</v>
      </c>
      <c r="G21" s="1" t="n">
        <f aca="false">ROUND(F21/Inputs!$B$50,0)</f>
        <v>11053</v>
      </c>
    </row>
    <row r="22" customFormat="false" ht="15" hidden="false" customHeight="true" outlineLevel="0" collapsed="false">
      <c r="A22" s="1" t="n">
        <v>9</v>
      </c>
      <c r="B22" s="1" t="s">
        <v>205</v>
      </c>
      <c r="C22" s="48" t="n">
        <v>2500</v>
      </c>
      <c r="D22" s="45" t="n">
        <f aca="false">D21+C21</f>
        <v>64600</v>
      </c>
      <c r="E22" s="45" t="n">
        <f aca="false">(Inputs!$B$52+D22+2*C22)/Inputs!$B$51</f>
        <v>100000</v>
      </c>
      <c r="F22" s="45" t="n">
        <f aca="false">CEILING(MAX(E22,F21*1.05),500)</f>
        <v>110500</v>
      </c>
      <c r="G22" s="1" t="n">
        <f aca="false">ROUND(F22/Inputs!$B$50,0)</f>
        <v>11632</v>
      </c>
    </row>
    <row r="23" customFormat="false" ht="15" hidden="false" customHeight="true" outlineLevel="0" collapsed="false">
      <c r="A23" s="1" t="n">
        <v>10</v>
      </c>
      <c r="B23" s="1" t="s">
        <v>206</v>
      </c>
      <c r="C23" s="48" t="n">
        <v>6000</v>
      </c>
      <c r="D23" s="45" t="n">
        <f aca="false">D22+C22</f>
        <v>67100</v>
      </c>
      <c r="E23" s="45" t="n">
        <f aca="false">(Inputs!$B$52+D23+2*C23)/Inputs!$B$51</f>
        <v>113571.428571429</v>
      </c>
      <c r="F23" s="45" t="n">
        <f aca="false">CEILING(MAX(E23,F22*1.05),500)</f>
        <v>116500</v>
      </c>
      <c r="G23" s="1" t="n">
        <f aca="false">ROUND(F23/Inputs!$B$50,0)</f>
        <v>12263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2"/>
    <col collapsed="false" customWidth="true" hidden="false" outlineLevel="0" max="3" min="3" style="1" width="34"/>
    <col collapsed="false" customWidth="true" hidden="false" outlineLevel="0" max="4" min="4" style="1" width="10"/>
  </cols>
  <sheetData>
    <row r="1" customFormat="false" ht="15" hidden="false" customHeight="true" outlineLevel="0" collapsed="false">
      <c r="A1" s="42" t="s">
        <v>207</v>
      </c>
    </row>
    <row r="3" customFormat="false" ht="15" hidden="false" customHeight="true" outlineLevel="0" collapsed="false">
      <c r="A3" s="47" t="s">
        <v>208</v>
      </c>
      <c r="B3" s="47" t="s">
        <v>81</v>
      </c>
      <c r="C3" s="47" t="s">
        <v>209</v>
      </c>
      <c r="D3" s="47" t="s">
        <v>210</v>
      </c>
      <c r="E3" s="47" t="s">
        <v>211</v>
      </c>
      <c r="F3" s="47" t="s">
        <v>212</v>
      </c>
      <c r="G3" s="47" t="s">
        <v>213</v>
      </c>
      <c r="H3" s="47" t="s">
        <v>214</v>
      </c>
      <c r="I3" s="47" t="s">
        <v>215</v>
      </c>
      <c r="J3" s="47" t="s">
        <v>216</v>
      </c>
      <c r="K3" s="47" t="s">
        <v>217</v>
      </c>
      <c r="L3" s="47" t="s">
        <v>218</v>
      </c>
      <c r="M3" s="47" t="s">
        <v>219</v>
      </c>
      <c r="N3" s="47" t="s">
        <v>220</v>
      </c>
      <c r="O3" s="47" t="s">
        <v>221</v>
      </c>
      <c r="P3" s="47" t="s">
        <v>222</v>
      </c>
      <c r="Q3" s="47" t="s">
        <v>223</v>
      </c>
    </row>
    <row r="4" customFormat="false" ht="15" hidden="false" customHeight="true" outlineLevel="0" collapsed="false">
      <c r="A4" s="1" t="s">
        <v>224</v>
      </c>
      <c r="B4" s="1" t="s">
        <v>225</v>
      </c>
      <c r="C4" s="23" t="n">
        <v>78</v>
      </c>
      <c r="D4" s="23" t="n">
        <v>120</v>
      </c>
    </row>
    <row r="5" customFormat="false" ht="15" hidden="false" customHeight="true" outlineLevel="0" collapsed="false">
      <c r="A5" s="1" t="s">
        <v>226</v>
      </c>
      <c r="B5" s="1" t="s">
        <v>225</v>
      </c>
      <c r="C5" s="23" t="n">
        <v>10</v>
      </c>
      <c r="D5" s="23" t="n">
        <v>30</v>
      </c>
    </row>
    <row r="6" customFormat="false" ht="15" hidden="false" customHeight="true" outlineLevel="0" collapsed="false">
      <c r="A6" s="1" t="s">
        <v>227</v>
      </c>
      <c r="B6" s="1" t="s">
        <v>225</v>
      </c>
      <c r="C6" s="23" t="n">
        <v>10</v>
      </c>
      <c r="D6" s="23" t="n">
        <v>25</v>
      </c>
    </row>
    <row r="7" customFormat="false" ht="15" hidden="false" customHeight="true" outlineLevel="0" collapsed="false">
      <c r="A7" s="1" t="s">
        <v>228</v>
      </c>
      <c r="B7" s="1" t="s">
        <v>229</v>
      </c>
      <c r="C7" s="23" t="n">
        <v>60</v>
      </c>
      <c r="D7" s="23" t="n">
        <v>120</v>
      </c>
    </row>
    <row r="8" customFormat="false" ht="15" hidden="false" customHeight="true" outlineLevel="0" collapsed="false">
      <c r="A8" s="1" t="s">
        <v>230</v>
      </c>
      <c r="B8" s="1" t="s">
        <v>229</v>
      </c>
      <c r="C8" s="23" t="n">
        <v>20</v>
      </c>
      <c r="D8" s="23" t="n">
        <v>60</v>
      </c>
    </row>
    <row r="9" customFormat="false" ht="15" hidden="false" customHeight="true" outlineLevel="0" collapsed="false">
      <c r="A9" s="1" t="s">
        <v>231</v>
      </c>
      <c r="B9" s="1" t="s">
        <v>229</v>
      </c>
      <c r="C9" s="23" t="n">
        <v>20</v>
      </c>
      <c r="D9" s="23" t="n">
        <v>60</v>
      </c>
    </row>
    <row r="10" customFormat="false" ht="15" hidden="false" customHeight="true" outlineLevel="0" collapsed="false">
      <c r="A10" s="1" t="s">
        <v>232</v>
      </c>
      <c r="B10" s="1" t="s">
        <v>229</v>
      </c>
      <c r="C10" s="23" t="n">
        <v>25</v>
      </c>
      <c r="D10" s="23" t="n">
        <v>35</v>
      </c>
    </row>
    <row r="11" customFormat="false" ht="15" hidden="false" customHeight="true" outlineLevel="0" collapsed="false">
      <c r="A11" s="1" t="s">
        <v>233</v>
      </c>
      <c r="B11" s="1" t="s">
        <v>229</v>
      </c>
      <c r="C11" s="23" t="n">
        <v>5</v>
      </c>
      <c r="D11" s="23" t="n">
        <v>25</v>
      </c>
    </row>
    <row r="12" customFormat="false" ht="15" hidden="false" customHeight="true" outlineLevel="0" collapsed="false">
      <c r="A12" s="22" t="s">
        <v>234</v>
      </c>
      <c r="C12" s="1" t="n">
        <f aca="false">SUMIF(B4:B11,"invited",C4:C11)</f>
        <v>98</v>
      </c>
      <c r="D12" s="1" t="n">
        <f aca="false">SUMIF(B4:B11,"invited",D4:D11)</f>
        <v>175</v>
      </c>
    </row>
    <row r="13" customFormat="false" ht="15" hidden="false" customHeight="true" outlineLevel="0" collapsed="false">
      <c r="A13" s="22" t="s">
        <v>235</v>
      </c>
      <c r="C13" s="1" t="n">
        <f aca="false">SUMIF(B4:B11,"self_serve",C4:C11)</f>
        <v>130</v>
      </c>
      <c r="D13" s="1" t="n">
        <f aca="false">SUMIF(B4:B11,"self_serve",D4:D11)</f>
        <v>300</v>
      </c>
    </row>
    <row r="14" customFormat="false" ht="15" hidden="false" customHeight="true" outlineLevel="0" collapsed="false">
      <c r="A14" s="22" t="s">
        <v>236</v>
      </c>
      <c r="C14" s="1" t="n">
        <f aca="false">C12+C13</f>
        <v>228</v>
      </c>
      <c r="D14" s="1" t="n">
        <f aca="false">D12+D13</f>
        <v>475</v>
      </c>
    </row>
    <row r="16" customFormat="false" ht="15" hidden="false" customHeight="true" outlineLevel="0" collapsed="false">
      <c r="A16" s="1"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4"/>
  </cols>
  <sheetData>
    <row r="1" customFormat="false" ht="15" hidden="false" customHeight="true" outlineLevel="0" collapsed="false">
      <c r="A1" s="42" t="s">
        <v>238</v>
      </c>
    </row>
    <row r="2" customFormat="false" ht="15" hidden="false" customHeight="true" outlineLevel="0" collapsed="false">
      <c r="A2" s="22" t="s">
        <v>239</v>
      </c>
    </row>
    <row r="3" customFormat="false" ht="15" hidden="false" customHeight="true" outlineLevel="0" collapsed="false">
      <c r="A3" s="1" t="s">
        <v>240</v>
      </c>
      <c r="B3" s="45" t="n">
        <f aca="false">Inputs!B52*3</f>
        <v>1200</v>
      </c>
    </row>
    <row r="4" customFormat="false" ht="15" hidden="false" customHeight="true" outlineLevel="0" collapsed="false">
      <c r="A4" s="1" t="s">
        <v>241</v>
      </c>
      <c r="B4" s="48" t="n">
        <v>2500</v>
      </c>
    </row>
    <row r="5" customFormat="false" ht="15" hidden="false" customHeight="true" outlineLevel="0" collapsed="false">
      <c r="A5" s="1" t="s">
        <v>242</v>
      </c>
      <c r="B5" s="48" t="n">
        <v>1000</v>
      </c>
    </row>
    <row r="6" customFormat="false" ht="15" hidden="false" customHeight="true" outlineLevel="0" collapsed="false">
      <c r="A6" s="1" t="s">
        <v>243</v>
      </c>
      <c r="B6" s="48" t="n">
        <v>300</v>
      </c>
    </row>
    <row r="7" customFormat="false" ht="15" hidden="false" customHeight="true" outlineLevel="0" collapsed="false">
      <c r="A7" s="1" t="s">
        <v>244</v>
      </c>
      <c r="B7" s="48" t="n">
        <v>90</v>
      </c>
    </row>
    <row r="8" customFormat="false" ht="15" hidden="false" customHeight="true" outlineLevel="0" collapsed="false">
      <c r="A8" s="1" t="s">
        <v>245</v>
      </c>
      <c r="B8" s="45" t="n">
        <f aca="false">SUM(B3:B7)</f>
        <v>5090</v>
      </c>
    </row>
    <row r="9" customFormat="false" ht="15" hidden="false" customHeight="true" outlineLevel="0" collapsed="false">
      <c r="A9" s="22" t="s">
        <v>246</v>
      </c>
    </row>
    <row r="10" customFormat="false" ht="15" hidden="false" customHeight="true" outlineLevel="0" collapsed="false">
      <c r="A10" s="1" t="s">
        <v>247</v>
      </c>
      <c r="B10" s="45" t="n">
        <f aca="false">'Plan Check'!B7</f>
        <v>4024.2085</v>
      </c>
    </row>
    <row r="11" customFormat="false" ht="15" hidden="false" customHeight="true" outlineLevel="0" collapsed="false">
      <c r="A11" s="1" t="s">
        <v>248</v>
      </c>
      <c r="B11" s="45" t="n">
        <f aca="false">B10-B8</f>
        <v>-1065.7915</v>
      </c>
    </row>
    <row r="12" customFormat="false" ht="15" hidden="false" customHeight="true" outlineLevel="0" collapsed="false">
      <c r="A12" s="22" t="s">
        <v>249</v>
      </c>
    </row>
    <row r="13" customFormat="false" ht="15" hidden="false" customHeight="true" outlineLevel="0" collapsed="false">
      <c r="A13" s="1" t="s">
        <v>250</v>
      </c>
      <c r="B13" s="45" t="n">
        <f aca="false">85*Inputs!B44+15*Inputs!C5*2</f>
        <v>7158.85</v>
      </c>
    </row>
    <row r="14" customFormat="false" ht="15" hidden="false" customHeight="true" outlineLevel="0" collapsed="false">
      <c r="A14" s="1" t="s">
        <v>251</v>
      </c>
      <c r="B14" s="45" t="n">
        <f aca="false">B13-B8</f>
        <v>2068.85</v>
      </c>
    </row>
    <row r="15" customFormat="false" ht="15" hidden="false" customHeight="true" outlineLevel="0" collapsed="false">
      <c r="A15" s="1" t="s">
        <v>252</v>
      </c>
      <c r="B15" s="45" t="n">
        <f aca="false">'Plan Check'!B8*0.7-Inputs!B52</f>
        <v>-128.8848375</v>
      </c>
    </row>
    <row r="16" customFormat="false" ht="15" hidden="false" customHeight="true" outlineLevel="0" collapsed="false">
      <c r="A16" s="1" t="s">
        <v>253</v>
      </c>
      <c r="B16" s="45" t="n">
        <f aca="false">(85*Inputs!B44/12+15*Inputs!C5)*0.7-Inputs!B52</f>
        <v>122.512083333333</v>
      </c>
    </row>
    <row r="18" customFormat="false" ht="15" hidden="false" customHeight="true" outlineLevel="0" collapsed="false">
      <c r="A18" s="1"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2026-09-03T02:43:15Z</dcterms:created>
  <dc:creator>openpyxl</dc:creator>
  <dc:description/>
  <dc:language>en-US</dc:language>
  <cp:lastModifiedBy/>
  <dcterms:modified xsi:type="dcterms:W3CDTF">2026-09-10T17:29:26Z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